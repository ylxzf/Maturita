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sptaji-my.sharepoint.com/personal/kadlec_ssptaji_cz/Documents/APV4/Excel_ustni/"/>
    </mc:Choice>
  </mc:AlternateContent>
  <xr:revisionPtr revIDLastSave="5" documentId="8_{241B642E-D5E5-43F0-AA76-7A84289FCB9A}" xr6:coauthVersionLast="46" xr6:coauthVersionMax="46" xr10:uidLastSave="{AF686ABF-B7EB-4851-96CA-AFDCA41A0A43}"/>
  <bookViews>
    <workbookView xWindow="-120" yWindow="-120" windowWidth="29040" windowHeight="15840" activeTab="7" xr2:uid="{E4A9FD3B-6CAE-42F0-9E6B-838EDA05408F}"/>
  </bookViews>
  <sheets>
    <sheet name="Výskyt hodnot" sheetId="3" r:id="rId1"/>
    <sheet name="Sude nebo liché" sheetId="2" r:id="rId2"/>
    <sheet name="Podmíněný formát" sheetId="1" r:id="rId3"/>
    <sheet name="Zaokrouhlení" sheetId="4" r:id="rId4"/>
    <sheet name="Obezita" sheetId="5" r:id="rId5"/>
    <sheet name="Ověření dat" sheetId="6" r:id="rId6"/>
    <sheet name="Obilí" sheetId="7" r:id="rId7"/>
    <sheet name="MaticFce" sheetId="8" r:id="rId8"/>
    <sheet name="Průběh fce" sheetId="9" r:id="rId9"/>
    <sheet name="Rodné číslo" sheetId="10" r:id="rId10"/>
  </sheets>
  <externalReferences>
    <externalReference r:id="rId11"/>
    <externalReference r:id="rId12"/>
  </externalReferences>
  <definedNames>
    <definedName name="časy">#REF!</definedName>
    <definedName name="jiná" localSheetId="1" hidden="1">{"Normálně",#N/A,FALSE,"Knihy";#N/A,#N/A,FALSE,"Směny3"}</definedName>
    <definedName name="jiná" localSheetId="0" hidden="1">{"Normálně",#N/A,FALSE,"Knihy";#N/A,#N/A,FALSE,"Směny3"}</definedName>
    <definedName name="jiná" localSheetId="3" hidden="1">{"Normálně",#N/A,FALSE,"Knihy";#N/A,#N/A,FALSE,"Směny3"}</definedName>
    <definedName name="jiná" hidden="1">{"Normálně",#N/A,FALSE,"Knihy";#N/A,#N/A,FALSE,"Směny3"}</definedName>
    <definedName name="Legenda">[1]Knihy!$A$9,[1]Knihy!$A$3:$A$9,[1]Knihy!$B$3:$G$3</definedName>
    <definedName name="mzdy_legenda">'[1]Mzdy '!$A$3:$A$10,'[1]Mzdy '!$B$3:$I$3</definedName>
    <definedName name="mzdy_vzorce">'[1]Mzdy '!$F$4:$J$10,'[1]Mzdy '!$B$10:$C$10,'[1]Mzdy '!$D$10,'[1]Mzdy '!$E$10,'[1]Mzdy '!$E$4:$E$9</definedName>
    <definedName name="nevím" localSheetId="1" hidden="1">{"Normálně",#N/A,FALSE,"Knihy";#N/A,#N/A,FALSE,"Směny3"}</definedName>
    <definedName name="nevím" localSheetId="0" hidden="1">{"Normálně",#N/A,FALSE,"Knihy";#N/A,#N/A,FALSE,"Směny3"}</definedName>
    <definedName name="nevím" localSheetId="3" hidden="1">{"Normálně",#N/A,FALSE,"Knihy";#N/A,#N/A,FALSE,"Směny3"}</definedName>
    <definedName name="nevím" hidden="1">{"Normálně",#N/A,FALSE,"Knihy";#N/A,#N/A,FALSE,"Směny3"}</definedName>
    <definedName name="Other" hidden="1">{"Normálně",#N/A,FALSE,"Knihy";#N/A,#N/A,FALSE,"Směny3"}</definedName>
    <definedName name="Příplatek" localSheetId="1">[1]Mzdy2!#REF!</definedName>
    <definedName name="Příplatek" localSheetId="0">[1]Mzdy2!#REF!</definedName>
    <definedName name="Příplatek" localSheetId="3">[1]Mzdy2!#REF!</definedName>
    <definedName name="Příplatek">[1]Mzdy2!#REF!</definedName>
    <definedName name="Time">#REF!</definedName>
    <definedName name="Titul_a_součty">[1]Trafika!$A$3:$J$3,[1]Trafika!$A$23:$J$23</definedName>
    <definedName name="Výkony">#REF!</definedName>
    <definedName name="Výpočty">[1]Knihy!$G$4:$G$9,[1]Knihy!$B$9:$F$9</definedName>
    <definedName name="wrn.Pokusná." localSheetId="1" hidden="1">{"Normálně",#N/A,FALSE,"Knihy";#N/A,#N/A,FALSE,"Směny3"}</definedName>
    <definedName name="wrn.Pokusná." localSheetId="0" hidden="1">{"Normálně",#N/A,FALSE,"Knihy";#N/A,#N/A,FALSE,"Směny3"}</definedName>
    <definedName name="wrn.Pokusná." localSheetId="3" hidden="1">{"Normálně",#N/A,FALSE,"Knihy";#N/A,#N/A,FALSE,"Směny3"}</definedName>
    <definedName name="wrn.Pokusná." hidden="1">{"Normálně",#N/A,FALSE,"Knihy";#N/A,#N/A,FALSE,"Směny3"}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7" i="1"/>
  <c r="D7" i="1" s="1"/>
  <c r="C6" i="1"/>
  <c r="D6" i="1" s="1"/>
  <c r="C5" i="1"/>
  <c r="D5" i="1" s="1"/>
  <c r="C4" i="1"/>
  <c r="C8" i="1" s="1"/>
  <c r="E6" i="1" l="1"/>
  <c r="F6" i="1" s="1"/>
  <c r="E7" i="1"/>
  <c r="F7" i="1" s="1"/>
  <c r="E5" i="1"/>
  <c r="F5" i="1" s="1"/>
  <c r="D4" i="1"/>
  <c r="I7" i="1" l="1"/>
  <c r="G7" i="1"/>
  <c r="I6" i="1"/>
  <c r="G6" i="1"/>
  <c r="H6" i="1" s="1"/>
  <c r="D8" i="1"/>
  <c r="E4" i="1"/>
  <c r="I5" i="1"/>
  <c r="G5" i="1"/>
  <c r="H5" i="1" s="1"/>
  <c r="H7" i="1"/>
  <c r="E8" i="1" l="1"/>
  <c r="F4" i="1"/>
  <c r="I4" i="1" l="1"/>
  <c r="I8" i="1" s="1"/>
  <c r="G4" i="1"/>
  <c r="G8" i="1" s="1"/>
  <c r="F8" i="1"/>
  <c r="H4" i="1"/>
  <c r="H8" i="1" l="1"/>
  <c r="J7" i="1" l="1"/>
  <c r="J5" i="1"/>
  <c r="J6" i="1"/>
  <c r="J4" i="1"/>
  <c r="J8" i="1" l="1"/>
</calcChain>
</file>

<file path=xl/sharedStrings.xml><?xml version="1.0" encoding="utf-8"?>
<sst xmlns="http://schemas.openxmlformats.org/spreadsheetml/2006/main" count="116" uniqueCount="114">
  <si>
    <t>Podmíněné formátování</t>
  </si>
  <si>
    <t>Je třeba, aby v tabulce bylo na první pohled zřejmé, které hodnoty výroby v jednotlivých letech převyšují hodnotu 1000, které jsou v rozmezí 500 - 1000 a které jsou nižší než 500.</t>
  </si>
  <si>
    <t>Provoz</t>
  </si>
  <si>
    <t>celkem</t>
  </si>
  <si>
    <t>Zvýšení 
proti roku 1995</t>
  </si>
  <si>
    <t>% celkové
 výroby</t>
  </si>
  <si>
    <t>Provoz A</t>
  </si>
  <si>
    <t>Provoz B</t>
  </si>
  <si>
    <t>Provoz C</t>
  </si>
  <si>
    <t>Provoz D</t>
  </si>
  <si>
    <t>Celkem</t>
  </si>
  <si>
    <t>Je dané číslo sudé nebo liché ?</t>
  </si>
  <si>
    <t>Dané číslo</t>
  </si>
  <si>
    <t>Výsledek</t>
  </si>
  <si>
    <t>Žák</t>
  </si>
  <si>
    <t>známka</t>
  </si>
  <si>
    <t>Žák 1</t>
  </si>
  <si>
    <t>Interval</t>
  </si>
  <si>
    <t>počet</t>
  </si>
  <si>
    <t>Žák 2</t>
  </si>
  <si>
    <t>Žák 3</t>
  </si>
  <si>
    <t>Žák 4</t>
  </si>
  <si>
    <t>Žák 5</t>
  </si>
  <si>
    <t>Žák 6</t>
  </si>
  <si>
    <t>Žák 7</t>
  </si>
  <si>
    <t>Žák 8</t>
  </si>
  <si>
    <t>Žák 9</t>
  </si>
  <si>
    <t>Žák 10</t>
  </si>
  <si>
    <t>Žák 11</t>
  </si>
  <si>
    <t>Žák 12</t>
  </si>
  <si>
    <t>Žák 13</t>
  </si>
  <si>
    <t>Žák 14</t>
  </si>
  <si>
    <t>Žák 15</t>
  </si>
  <si>
    <t>Žák 16</t>
  </si>
  <si>
    <t>Žák 17</t>
  </si>
  <si>
    <t>Žák 18</t>
  </si>
  <si>
    <t>Žák 19</t>
  </si>
  <si>
    <t>Žák 20</t>
  </si>
  <si>
    <t>Žák 21</t>
  </si>
  <si>
    <t>Žák 22</t>
  </si>
  <si>
    <t>Žák 23</t>
  </si>
  <si>
    <t>Žák 24</t>
  </si>
  <si>
    <t>Žák 25</t>
  </si>
  <si>
    <t>Žák 26</t>
  </si>
  <si>
    <t>Žák 27</t>
  </si>
  <si>
    <t>Žák 28</t>
  </si>
  <si>
    <t>Žák 29</t>
  </si>
  <si>
    <t>Žák 30</t>
  </si>
  <si>
    <t>Zaokrouhlení</t>
  </si>
  <si>
    <t>Faktura</t>
  </si>
  <si>
    <t>Kč</t>
  </si>
  <si>
    <t>zaokrouhleno</t>
  </si>
  <si>
    <t>haléře</t>
  </si>
  <si>
    <t>Kč nahoru</t>
  </si>
  <si>
    <t>Fa č. 4</t>
  </si>
  <si>
    <t>Fa č. 5</t>
  </si>
  <si>
    <t>Fa č. 6</t>
  </si>
  <si>
    <t>Fa č. 7</t>
  </si>
  <si>
    <t>Fa č. 8</t>
  </si>
  <si>
    <t>Fa č. 9</t>
  </si>
  <si>
    <t>Fa č. 10</t>
  </si>
  <si>
    <t>Fa č. 11</t>
  </si>
  <si>
    <t>Fa č. 12</t>
  </si>
  <si>
    <t>Fa č. 13</t>
  </si>
  <si>
    <t xml:space="preserve"> Jste obézní ?</t>
  </si>
  <si>
    <t>Tabulka obezity</t>
  </si>
  <si>
    <t>váha do</t>
  </si>
  <si>
    <t>stupeň obezity</t>
  </si>
  <si>
    <t>normální</t>
  </si>
  <si>
    <t>Vložte údaje o své osobě:</t>
  </si>
  <si>
    <t>lehká nadváha</t>
  </si>
  <si>
    <t>střední nadváha</t>
  </si>
  <si>
    <t>Váha* (kg)</t>
  </si>
  <si>
    <t>zvýšená nadváha</t>
  </si>
  <si>
    <t>výška (m)</t>
  </si>
  <si>
    <t>obezita I. stupně</t>
  </si>
  <si>
    <t>MBI</t>
  </si>
  <si>
    <t>obezita II. stupně</t>
  </si>
  <si>
    <t>více</t>
  </si>
  <si>
    <t>obezita III. stupně</t>
  </si>
  <si>
    <t>Váš stupeň obezity:</t>
  </si>
  <si>
    <t>Výskyt hodnot (četnosti)</t>
  </si>
  <si>
    <t>Ověření dat</t>
  </si>
  <si>
    <t>Do buněk A4:A10 lze vložit pouze aktuální datum nebo starší</t>
  </si>
  <si>
    <t>Výnosy obilí v různých nadmořských výškách</t>
  </si>
  <si>
    <t>Výnos
nulové výšce</t>
  </si>
  <si>
    <t>Pole</t>
  </si>
  <si>
    <t>Plocha (ha)</t>
  </si>
  <si>
    <t>Výška (m)</t>
  </si>
  <si>
    <t>výnos v 0 m</t>
  </si>
  <si>
    <t>snížení</t>
  </si>
  <si>
    <t>výnos</t>
  </si>
  <si>
    <t>Pole č. 1</t>
  </si>
  <si>
    <t>Pole č. 2</t>
  </si>
  <si>
    <t>Pole č. 3</t>
  </si>
  <si>
    <t>Pole č. 4</t>
  </si>
  <si>
    <t>Proveďte součet vektorů A a B:</t>
  </si>
  <si>
    <t>vektor A</t>
  </si>
  <si>
    <t>vektor B</t>
  </si>
  <si>
    <t>A + B</t>
  </si>
  <si>
    <t>Proveďte součin matic A a B:</t>
  </si>
  <si>
    <t>Matice A</t>
  </si>
  <si>
    <t>Matice B</t>
  </si>
  <si>
    <t>A * B</t>
  </si>
  <si>
    <t>Vyšetření průběhu funkce</t>
  </si>
  <si>
    <t>XY bodový graf</t>
  </si>
  <si>
    <r>
      <t>f(x)=x</t>
    </r>
    <r>
      <rPr>
        <b/>
        <vertAlign val="superscript"/>
        <sz val="10"/>
        <rFont val="Arial CE"/>
        <family val="2"/>
        <charset val="238"/>
      </rPr>
      <t>3</t>
    </r>
    <r>
      <rPr>
        <b/>
        <sz val="10"/>
        <rFont val="Arial CE"/>
        <family val="2"/>
        <charset val="238"/>
      </rPr>
      <t>+x</t>
    </r>
    <r>
      <rPr>
        <b/>
        <vertAlign val="superscript"/>
        <sz val="10"/>
        <rFont val="Arial CE"/>
        <family val="2"/>
        <charset val="238"/>
      </rPr>
      <t>4</t>
    </r>
    <r>
      <rPr>
        <b/>
        <sz val="10"/>
        <rFont val="Arial CE"/>
        <family val="2"/>
        <charset val="238"/>
      </rPr>
      <t>/4</t>
    </r>
  </si>
  <si>
    <t>x</t>
  </si>
  <si>
    <t>y</t>
  </si>
  <si>
    <r>
      <t xml:space="preserve">Ze zadaného rodného čísla zjistěte měsíc narození a pohlaví osoby: </t>
    </r>
    <r>
      <rPr>
        <sz val="10"/>
        <rFont val="Arial CE"/>
        <charset val="238"/>
      </rPr>
      <t>(použijte mj. funkci HODNOTA)</t>
    </r>
  </si>
  <si>
    <t>Rodné číslo:</t>
  </si>
  <si>
    <t>935404/1587</t>
  </si>
  <si>
    <t>Měsíc narození:</t>
  </si>
  <si>
    <t>Pohlaví (muž/žena):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</si>
</sst>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b/>
      <sz val="12"/>
      <name val="Arial CE"/>
      <family val="2"/>
      <charset val="238"/>
    </font>
    <font>
      <b/>
      <sz val="10"/>
      <name val="Arial CE"/>
      <family val="2"/>
      <charset val="238"/>
    </font>
    <font>
      <sz val="10"/>
      <name val="Arial CE"/>
      <charset val="238"/>
    </font>
    <font>
      <b/>
      <sz val="11"/>
      <color theme="1"/>
      <name val="Calibri"/>
      <family val="2"/>
      <charset val="238"/>
      <scheme val="minor"/>
    </font>
    <font>
      <b/>
      <sz val="14"/>
      <name val="Arial CE"/>
      <family val="2"/>
      <charset val="238"/>
    </font>
    <font>
      <b/>
      <i/>
      <sz val="10"/>
      <name val="Arial CE"/>
      <family val="2"/>
      <charset val="238"/>
    </font>
    <font>
      <sz val="16"/>
      <color indexed="10"/>
      <name val="Arial CE"/>
      <family val="2"/>
      <charset val="238"/>
    </font>
    <font>
      <i/>
      <sz val="10"/>
      <name val="Arial CE"/>
      <family val="2"/>
      <charset val="238"/>
    </font>
    <font>
      <b/>
      <sz val="15"/>
      <name val="Arial CE"/>
      <family val="2"/>
      <charset val="238"/>
    </font>
    <font>
      <b/>
      <sz val="10"/>
      <name val="Arial CE"/>
      <charset val="238"/>
    </font>
    <font>
      <b/>
      <vertAlign val="superscript"/>
      <sz val="10"/>
      <name val="Arial CE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1" fontId="0" fillId="0" borderId="7" xfId="0" applyNumberFormat="1" applyBorder="1"/>
    <xf numFmtId="2" fontId="0" fillId="0" borderId="7" xfId="0" applyNumberFormat="1" applyBorder="1"/>
    <xf numFmtId="164" fontId="0" fillId="0" borderId="7" xfId="0" applyNumberFormat="1" applyBorder="1"/>
    <xf numFmtId="0" fontId="3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6" fillId="0" borderId="0" xfId="0" applyFont="1"/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0" fontId="0" fillId="0" borderId="7" xfId="0" applyBorder="1" applyAlignment="1">
      <alignment horizontal="center"/>
    </xf>
    <xf numFmtId="2" fontId="0" fillId="0" borderId="0" xfId="0" applyNumberFormat="1"/>
    <xf numFmtId="0" fontId="8" fillId="0" borderId="0" xfId="0" applyFont="1" applyAlignment="1">
      <alignment horizontal="center"/>
    </xf>
    <xf numFmtId="14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/>
    </xf>
    <xf numFmtId="2" fontId="3" fillId="0" borderId="7" xfId="0" applyNumberFormat="1" applyFont="1" applyBorder="1"/>
    <xf numFmtId="0" fontId="5" fillId="0" borderId="0" xfId="1" applyFont="1" applyAlignment="1">
      <alignment horizontal="right"/>
    </xf>
    <xf numFmtId="0" fontId="1" fillId="0" borderId="0" xfId="1"/>
    <xf numFmtId="0" fontId="5" fillId="0" borderId="0" xfId="1" applyFont="1"/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1" fillId="0" borderId="0" xfId="1" applyAlignment="1">
      <alignment horizontal="right"/>
    </xf>
    <xf numFmtId="0" fontId="4" fillId="0" borderId="9" xfId="1" applyFont="1" applyBorder="1" applyAlignment="1">
      <alignment horizontal="center"/>
    </xf>
    <xf numFmtId="0" fontId="1" fillId="0" borderId="9" xfId="1" applyBorder="1"/>
    <xf numFmtId="0" fontId="11" fillId="0" borderId="0" xfId="1" applyFont="1"/>
    <xf numFmtId="0" fontId="1" fillId="3" borderId="0" xfId="1" applyFill="1"/>
    <xf numFmtId="0" fontId="0" fillId="2" borderId="10" xfId="0" applyFill="1" applyBorder="1"/>
    <xf numFmtId="0" fontId="0" fillId="2" borderId="11" xfId="0" applyFill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</cellXfs>
  <cellStyles count="2">
    <cellStyle name="Normální" xfId="0" builtinId="0"/>
    <cellStyle name="Normální 2" xfId="1" xr:uid="{57E21629-82C2-4009-A617-145D5C4108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</xdr:row>
      <xdr:rowOff>0</xdr:rowOff>
    </xdr:from>
    <xdr:to>
      <xdr:col>11</xdr:col>
      <xdr:colOff>247650</xdr:colOff>
      <xdr:row>13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114E8A2-0700-4AC3-849B-31607006319D}"/>
            </a:ext>
          </a:extLst>
        </xdr:cNvPr>
        <xdr:cNvSpPr txBox="1">
          <a:spLocks noChangeArrowheads="1"/>
        </xdr:cNvSpPr>
      </xdr:nvSpPr>
      <xdr:spPr bwMode="auto">
        <a:xfrm>
          <a:off x="6048375" y="390525"/>
          <a:ext cx="2543175" cy="1790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 CE"/>
              <a:cs typeface="Arial CE"/>
            </a:rPr>
            <a:t>Spočítejte si index obezity z tělsných údajů o váze a výšce. Kritériem je zde index tělesné váhy BMI (Body Mass Index), který vypočítáte, když svou váhu vyjádřenou v kilogramech vydělíte výškou vyjádřenou v metrech a umocněnou na druhou. Pak platí hodnoty dle tabulky. sestavte vzorec tak, aby po zadání výšky a váhy Excel okamžitě oznámil, jakým stupněm nadváhy či obezity zkoumaná osoba trpí.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2</xdr:row>
      <xdr:rowOff>304801</xdr:rowOff>
    </xdr:from>
    <xdr:to>
      <xdr:col>11</xdr:col>
      <xdr:colOff>447675</xdr:colOff>
      <xdr:row>10</xdr:row>
      <xdr:rowOff>152401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60ACFD33-1B66-45F3-8E89-59524AE620BC}"/>
            </a:ext>
          </a:extLst>
        </xdr:cNvPr>
        <xdr:cNvSpPr txBox="1"/>
      </xdr:nvSpPr>
      <xdr:spPr>
        <a:xfrm>
          <a:off x="4695825" y="666751"/>
          <a:ext cx="2971800" cy="14668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cs-CZ" sz="1100"/>
            <a:t>Pěstujeme</a:t>
          </a:r>
          <a:r>
            <a:rPr lang="cs-CZ" sz="1100" baseline="0"/>
            <a:t> obilí. Máme čtyři pole o rozměrech 100, 150, 400, 80 hektarů. Každé je v jiné nadmořské výšce - 200, 800, 1000, 1500 m. Víme, že výnos v nadmořské výšce nula je 8,5 tuny z hektaru. Výnos klesá o 0,5 </a:t>
          </a:r>
          <a:r>
            <a:rPr lang="en-US" sz="1100" baseline="0"/>
            <a:t>%</a:t>
          </a:r>
          <a:r>
            <a:rPr lang="cs-CZ" sz="1100" baseline="0"/>
            <a:t> na každých 100 m nadmořské výšky. Kolik sklidíme z každého pole a dohromady z celkové plochy pozemků?</a:t>
          </a:r>
          <a:endParaRPr lang="cs-CZ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3;kola\EXCEL\Prikladyexcel-disketa\Tabulky%20z%20knichy\Pokusn&#253;%20se&#353;it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kol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Trojúhe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>
        <row r="3">
          <cell r="B3">
            <v>1992</v>
          </cell>
          <cell r="C3" t="str">
            <v>1993</v>
          </cell>
          <cell r="D3">
            <v>1994</v>
          </cell>
          <cell r="E3">
            <v>1995</v>
          </cell>
          <cell r="F3">
            <v>1996</v>
          </cell>
          <cell r="G3" t="str">
            <v>součet</v>
          </cell>
        </row>
        <row r="4">
          <cell r="A4" t="str">
            <v>sci-fi</v>
          </cell>
          <cell r="G4">
            <v>152</v>
          </cell>
        </row>
        <row r="5">
          <cell r="A5" t="str">
            <v>detektivky</v>
          </cell>
          <cell r="G5">
            <v>50</v>
          </cell>
        </row>
        <row r="6">
          <cell r="A6" t="str">
            <v>westerny</v>
          </cell>
          <cell r="G6">
            <v>51</v>
          </cell>
        </row>
        <row r="7">
          <cell r="A7" t="str">
            <v>počítačové</v>
          </cell>
          <cell r="G7">
            <v>25</v>
          </cell>
        </row>
        <row r="8">
          <cell r="A8" t="str">
            <v>ostatní</v>
          </cell>
          <cell r="G8">
            <v>53</v>
          </cell>
        </row>
        <row r="9">
          <cell r="A9" t="str">
            <v>součet</v>
          </cell>
          <cell r="B9">
            <v>66</v>
          </cell>
          <cell r="C9">
            <v>61</v>
          </cell>
          <cell r="D9">
            <v>70</v>
          </cell>
          <cell r="E9">
            <v>75</v>
          </cell>
          <cell r="F9">
            <v>59</v>
          </cell>
          <cell r="G9">
            <v>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Jméno</v>
          </cell>
          <cell r="B3" t="str">
            <v>Základ</v>
          </cell>
          <cell r="C3" t="str">
            <v>Prémie</v>
          </cell>
          <cell r="D3" t="str">
            <v>Příplatek</v>
          </cell>
          <cell r="E3" t="str">
            <v>Hrubá</v>
          </cell>
          <cell r="F3" t="str">
            <v>Pojištění</v>
          </cell>
          <cell r="G3" t="str">
            <v>Daň</v>
          </cell>
          <cell r="H3" t="str">
            <v>Srážky</v>
          </cell>
          <cell r="I3" t="str">
            <v>Čistá</v>
          </cell>
        </row>
        <row r="4">
          <cell r="A4" t="str">
            <v>Novák</v>
          </cell>
          <cell r="E4">
            <v>7000</v>
          </cell>
          <cell r="F4">
            <v>945</v>
          </cell>
          <cell r="G4">
            <v>908.25</v>
          </cell>
          <cell r="H4">
            <v>1853.25</v>
          </cell>
          <cell r="I4">
            <v>5146.75</v>
          </cell>
        </row>
        <row r="5">
          <cell r="A5" t="str">
            <v>Nováček</v>
          </cell>
          <cell r="E5">
            <v>9300</v>
          </cell>
          <cell r="F5">
            <v>1255.5</v>
          </cell>
          <cell r="G5">
            <v>1206.675</v>
          </cell>
          <cell r="H5">
            <v>2462.1750000000002</v>
          </cell>
          <cell r="I5">
            <v>6837.8249999999998</v>
          </cell>
        </row>
        <row r="6">
          <cell r="A6" t="str">
            <v>Dvořák</v>
          </cell>
          <cell r="E6">
            <v>10700</v>
          </cell>
          <cell r="F6">
            <v>1444.5</v>
          </cell>
          <cell r="G6">
            <v>1388.325</v>
          </cell>
          <cell r="H6">
            <v>2832.8249999999998</v>
          </cell>
          <cell r="I6">
            <v>7867.1750000000002</v>
          </cell>
        </row>
        <row r="7">
          <cell r="A7" t="str">
            <v>Janeček</v>
          </cell>
          <cell r="E7">
            <v>10200</v>
          </cell>
          <cell r="F7">
            <v>1377</v>
          </cell>
          <cell r="G7">
            <v>1323.45</v>
          </cell>
          <cell r="H7">
            <v>2700.45</v>
          </cell>
          <cell r="I7">
            <v>7499.55</v>
          </cell>
        </row>
        <row r="8">
          <cell r="A8" t="str">
            <v>Dvořáček</v>
          </cell>
          <cell r="E8">
            <v>7320</v>
          </cell>
          <cell r="F8">
            <v>988.2</v>
          </cell>
          <cell r="G8">
            <v>949.77</v>
          </cell>
          <cell r="H8">
            <v>1937.97</v>
          </cell>
          <cell r="I8">
            <v>5382.03</v>
          </cell>
        </row>
        <row r="9">
          <cell r="A9" t="str">
            <v>Horáček</v>
          </cell>
          <cell r="E9">
            <v>9020</v>
          </cell>
          <cell r="F9">
            <v>1217.7</v>
          </cell>
          <cell r="G9">
            <v>1170.345</v>
          </cell>
          <cell r="H9">
            <v>2388.0450000000001</v>
          </cell>
          <cell r="I9">
            <v>6631.9549999999999</v>
          </cell>
        </row>
        <row r="10">
          <cell r="A10" t="str">
            <v>Součet</v>
          </cell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Titul</v>
          </cell>
          <cell r="B3" t="str">
            <v>Nákupní cena</v>
          </cell>
          <cell r="C3" t="str">
            <v>Rabat</v>
          </cell>
          <cell r="D3" t="str">
            <v>Prodejní cena</v>
          </cell>
          <cell r="E3" t="str">
            <v>Dodáno</v>
          </cell>
          <cell r="F3" t="str">
            <v>Prodáno</v>
          </cell>
          <cell r="G3" t="str">
            <v>Tržba</v>
          </cell>
          <cell r="H3" t="str">
            <v>Náklady</v>
          </cell>
          <cell r="I3" t="str">
            <v>Penále</v>
          </cell>
          <cell r="J3" t="str">
            <v>Zisk</v>
          </cell>
        </row>
        <row r="23">
          <cell r="A23" t="str">
            <v>Celkem</v>
          </cell>
          <cell r="B23" t="str">
            <v>x</v>
          </cell>
          <cell r="C23" t="str">
            <v>x</v>
          </cell>
          <cell r="D23" t="str">
            <v>x</v>
          </cell>
          <cell r="E23">
            <v>670</v>
          </cell>
          <cell r="F23">
            <v>466</v>
          </cell>
          <cell r="G23">
            <v>12062.960000000001</v>
          </cell>
          <cell r="H23">
            <v>8616.4</v>
          </cell>
          <cell r="I23">
            <v>392.57000000000005</v>
          </cell>
          <cell r="J23">
            <v>3053.99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aokrouhlení"/>
      <sheetName val="Obezita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CED5-D2F2-48F1-B1E8-79829ACC2DFE}">
  <dimension ref="A1:E33"/>
  <sheetViews>
    <sheetView workbookViewId="0">
      <selection activeCell="A2" sqref="A2"/>
    </sheetView>
  </sheetViews>
  <sheetFormatPr defaultRowHeight="12.75" x14ac:dyDescent="0.2"/>
  <sheetData>
    <row r="1" spans="1:5" ht="15.75" x14ac:dyDescent="0.25">
      <c r="A1" s="1" t="s">
        <v>81</v>
      </c>
    </row>
    <row r="3" spans="1:5" x14ac:dyDescent="0.2">
      <c r="A3" s="8" t="s">
        <v>14</v>
      </c>
      <c r="B3" s="8" t="s">
        <v>15</v>
      </c>
    </row>
    <row r="4" spans="1:5" x14ac:dyDescent="0.2">
      <c r="A4" t="s">
        <v>16</v>
      </c>
      <c r="B4">
        <v>1</v>
      </c>
      <c r="D4" s="8" t="s">
        <v>17</v>
      </c>
      <c r="E4" s="8" t="s">
        <v>18</v>
      </c>
    </row>
    <row r="5" spans="1:5" x14ac:dyDescent="0.2">
      <c r="A5" t="s">
        <v>19</v>
      </c>
      <c r="B5">
        <v>2</v>
      </c>
      <c r="D5">
        <v>1</v>
      </c>
    </row>
    <row r="6" spans="1:5" x14ac:dyDescent="0.2">
      <c r="A6" t="s">
        <v>20</v>
      </c>
      <c r="B6">
        <v>2</v>
      </c>
      <c r="D6">
        <v>2</v>
      </c>
    </row>
    <row r="7" spans="1:5" x14ac:dyDescent="0.2">
      <c r="A7" t="s">
        <v>21</v>
      </c>
      <c r="B7">
        <v>4</v>
      </c>
      <c r="D7">
        <v>3</v>
      </c>
    </row>
    <row r="8" spans="1:5" x14ac:dyDescent="0.2">
      <c r="A8" t="s">
        <v>22</v>
      </c>
      <c r="B8">
        <v>1</v>
      </c>
      <c r="D8">
        <v>4</v>
      </c>
    </row>
    <row r="9" spans="1:5" x14ac:dyDescent="0.2">
      <c r="A9" t="s">
        <v>23</v>
      </c>
      <c r="B9">
        <v>2</v>
      </c>
      <c r="D9">
        <v>5</v>
      </c>
    </row>
    <row r="10" spans="1:5" x14ac:dyDescent="0.2">
      <c r="A10" t="s">
        <v>24</v>
      </c>
      <c r="B10">
        <v>3</v>
      </c>
    </row>
    <row r="11" spans="1:5" x14ac:dyDescent="0.2">
      <c r="A11" t="s">
        <v>25</v>
      </c>
      <c r="B11">
        <v>3</v>
      </c>
    </row>
    <row r="12" spans="1:5" x14ac:dyDescent="0.2">
      <c r="A12" t="s">
        <v>26</v>
      </c>
      <c r="B12">
        <v>2</v>
      </c>
    </row>
    <row r="13" spans="1:5" x14ac:dyDescent="0.2">
      <c r="A13" t="s">
        <v>27</v>
      </c>
      <c r="B13">
        <v>4</v>
      </c>
    </row>
    <row r="14" spans="1:5" x14ac:dyDescent="0.2">
      <c r="A14" t="s">
        <v>28</v>
      </c>
      <c r="B14">
        <v>5</v>
      </c>
    </row>
    <row r="15" spans="1:5" x14ac:dyDescent="0.2">
      <c r="A15" t="s">
        <v>29</v>
      </c>
      <c r="B15">
        <v>2</v>
      </c>
    </row>
    <row r="16" spans="1:5" x14ac:dyDescent="0.2">
      <c r="A16" t="s">
        <v>30</v>
      </c>
      <c r="B16">
        <v>3</v>
      </c>
    </row>
    <row r="17" spans="1:2" x14ac:dyDescent="0.2">
      <c r="A17" t="s">
        <v>31</v>
      </c>
      <c r="B17">
        <v>3</v>
      </c>
    </row>
    <row r="18" spans="1:2" x14ac:dyDescent="0.2">
      <c r="A18" t="s">
        <v>32</v>
      </c>
      <c r="B18">
        <v>4</v>
      </c>
    </row>
    <row r="19" spans="1:2" x14ac:dyDescent="0.2">
      <c r="A19" t="s">
        <v>33</v>
      </c>
      <c r="B19">
        <v>2</v>
      </c>
    </row>
    <row r="20" spans="1:2" x14ac:dyDescent="0.2">
      <c r="A20" t="s">
        <v>34</v>
      </c>
      <c r="B20">
        <v>3</v>
      </c>
    </row>
    <row r="21" spans="1:2" x14ac:dyDescent="0.2">
      <c r="A21" t="s">
        <v>35</v>
      </c>
      <c r="B21">
        <v>2</v>
      </c>
    </row>
    <row r="22" spans="1:2" x14ac:dyDescent="0.2">
      <c r="A22" t="s">
        <v>36</v>
      </c>
      <c r="B22">
        <v>4</v>
      </c>
    </row>
    <row r="23" spans="1:2" x14ac:dyDescent="0.2">
      <c r="A23" t="s">
        <v>37</v>
      </c>
      <c r="B23">
        <v>3</v>
      </c>
    </row>
    <row r="24" spans="1:2" x14ac:dyDescent="0.2">
      <c r="A24" t="s">
        <v>38</v>
      </c>
      <c r="B24">
        <v>3</v>
      </c>
    </row>
    <row r="25" spans="1:2" x14ac:dyDescent="0.2">
      <c r="A25" t="s">
        <v>39</v>
      </c>
      <c r="B25">
        <v>1</v>
      </c>
    </row>
    <row r="26" spans="1:2" x14ac:dyDescent="0.2">
      <c r="A26" t="s">
        <v>40</v>
      </c>
      <c r="B26">
        <v>5</v>
      </c>
    </row>
    <row r="27" spans="1:2" x14ac:dyDescent="0.2">
      <c r="A27" t="s">
        <v>41</v>
      </c>
      <c r="B27">
        <v>3</v>
      </c>
    </row>
    <row r="28" spans="1:2" x14ac:dyDescent="0.2">
      <c r="A28" t="s">
        <v>42</v>
      </c>
      <c r="B28">
        <v>4</v>
      </c>
    </row>
    <row r="29" spans="1:2" x14ac:dyDescent="0.2">
      <c r="A29" t="s">
        <v>43</v>
      </c>
      <c r="B29">
        <v>3</v>
      </c>
    </row>
    <row r="30" spans="1:2" x14ac:dyDescent="0.2">
      <c r="A30" t="s">
        <v>44</v>
      </c>
      <c r="B30">
        <v>2</v>
      </c>
    </row>
    <row r="31" spans="1:2" x14ac:dyDescent="0.2">
      <c r="A31" t="s">
        <v>45</v>
      </c>
      <c r="B31">
        <v>3</v>
      </c>
    </row>
    <row r="32" spans="1:2" x14ac:dyDescent="0.2">
      <c r="A32" t="s">
        <v>46</v>
      </c>
      <c r="B32">
        <v>2</v>
      </c>
    </row>
    <row r="33" spans="1:2" x14ac:dyDescent="0.2">
      <c r="A33" t="s">
        <v>47</v>
      </c>
      <c r="B33">
        <v>3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A6F4-FF1A-4DA1-8D00-8D65C128F170}">
  <dimension ref="A1:B5"/>
  <sheetViews>
    <sheetView workbookViewId="0">
      <selection activeCell="B5" sqref="B5"/>
    </sheetView>
  </sheetViews>
  <sheetFormatPr defaultRowHeight="12.75" x14ac:dyDescent="0.2"/>
  <cols>
    <col min="1" max="1" width="15" customWidth="1"/>
    <col min="257" max="257" width="15" customWidth="1"/>
    <col min="513" max="513" width="15" customWidth="1"/>
    <col min="769" max="769" width="15" customWidth="1"/>
    <col min="1025" max="1025" width="15" customWidth="1"/>
    <col min="1281" max="1281" width="15" customWidth="1"/>
    <col min="1537" max="1537" width="15" customWidth="1"/>
    <col min="1793" max="1793" width="15" customWidth="1"/>
    <col min="2049" max="2049" width="15" customWidth="1"/>
    <col min="2305" max="2305" width="15" customWidth="1"/>
    <col min="2561" max="2561" width="15" customWidth="1"/>
    <col min="2817" max="2817" width="15" customWidth="1"/>
    <col min="3073" max="3073" width="15" customWidth="1"/>
    <col min="3329" max="3329" width="15" customWidth="1"/>
    <col min="3585" max="3585" width="15" customWidth="1"/>
    <col min="3841" max="3841" width="15" customWidth="1"/>
    <col min="4097" max="4097" width="15" customWidth="1"/>
    <col min="4353" max="4353" width="15" customWidth="1"/>
    <col min="4609" max="4609" width="15" customWidth="1"/>
    <col min="4865" max="4865" width="15" customWidth="1"/>
    <col min="5121" max="5121" width="15" customWidth="1"/>
    <col min="5377" max="5377" width="15" customWidth="1"/>
    <col min="5633" max="5633" width="15" customWidth="1"/>
    <col min="5889" max="5889" width="15" customWidth="1"/>
    <col min="6145" max="6145" width="15" customWidth="1"/>
    <col min="6401" max="6401" width="15" customWidth="1"/>
    <col min="6657" max="6657" width="15" customWidth="1"/>
    <col min="6913" max="6913" width="15" customWidth="1"/>
    <col min="7169" max="7169" width="15" customWidth="1"/>
    <col min="7425" max="7425" width="15" customWidth="1"/>
    <col min="7681" max="7681" width="15" customWidth="1"/>
    <col min="7937" max="7937" width="15" customWidth="1"/>
    <col min="8193" max="8193" width="15" customWidth="1"/>
    <col min="8449" max="8449" width="15" customWidth="1"/>
    <col min="8705" max="8705" width="15" customWidth="1"/>
    <col min="8961" max="8961" width="15" customWidth="1"/>
    <col min="9217" max="9217" width="15" customWidth="1"/>
    <col min="9473" max="9473" width="15" customWidth="1"/>
    <col min="9729" max="9729" width="15" customWidth="1"/>
    <col min="9985" max="9985" width="15" customWidth="1"/>
    <col min="10241" max="10241" width="15" customWidth="1"/>
    <col min="10497" max="10497" width="15" customWidth="1"/>
    <col min="10753" max="10753" width="15" customWidth="1"/>
    <col min="11009" max="11009" width="15" customWidth="1"/>
    <col min="11265" max="11265" width="15" customWidth="1"/>
    <col min="11521" max="11521" width="15" customWidth="1"/>
    <col min="11777" max="11777" width="15" customWidth="1"/>
    <col min="12033" max="12033" width="15" customWidth="1"/>
    <col min="12289" max="12289" width="15" customWidth="1"/>
    <col min="12545" max="12545" width="15" customWidth="1"/>
    <col min="12801" max="12801" width="15" customWidth="1"/>
    <col min="13057" max="13057" width="15" customWidth="1"/>
    <col min="13313" max="13313" width="15" customWidth="1"/>
    <col min="13569" max="13569" width="15" customWidth="1"/>
    <col min="13825" max="13825" width="15" customWidth="1"/>
    <col min="14081" max="14081" width="15" customWidth="1"/>
    <col min="14337" max="14337" width="15" customWidth="1"/>
    <col min="14593" max="14593" width="15" customWidth="1"/>
    <col min="14849" max="14849" width="15" customWidth="1"/>
    <col min="15105" max="15105" width="15" customWidth="1"/>
    <col min="15361" max="15361" width="15" customWidth="1"/>
    <col min="15617" max="15617" width="15" customWidth="1"/>
    <col min="15873" max="15873" width="15" customWidth="1"/>
    <col min="16129" max="16129" width="15" customWidth="1"/>
  </cols>
  <sheetData>
    <row r="1" spans="1:2" ht="15.75" x14ac:dyDescent="0.25">
      <c r="A1" s="1" t="s">
        <v>11</v>
      </c>
    </row>
    <row r="3" spans="1:2" x14ac:dyDescent="0.2">
      <c r="A3" s="8" t="s">
        <v>12</v>
      </c>
      <c r="B3">
        <v>1</v>
      </c>
    </row>
    <row r="5" spans="1:2" x14ac:dyDescent="0.2">
      <c r="A5" s="8" t="s">
        <v>13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5C20-CF54-4DA0-A8E4-8155D7E7C16F}">
  <dimension ref="A1:L8"/>
  <sheetViews>
    <sheetView workbookViewId="0">
      <selection activeCell="F18" sqref="F18"/>
    </sheetView>
  </sheetViews>
  <sheetFormatPr defaultRowHeight="12.75" x14ac:dyDescent="0.2"/>
  <cols>
    <col min="7" max="7" width="10.42578125" customWidth="1"/>
    <col min="9" max="9" width="11" customWidth="1"/>
    <col min="10" max="10" width="9.5703125" bestFit="1" customWidth="1"/>
    <col min="263" max="263" width="10.42578125" customWidth="1"/>
    <col min="265" max="265" width="11" customWidth="1"/>
    <col min="266" max="266" width="9.5703125" bestFit="1" customWidth="1"/>
    <col min="519" max="519" width="10.42578125" customWidth="1"/>
    <col min="521" max="521" width="11" customWidth="1"/>
    <col min="522" max="522" width="9.5703125" bestFit="1" customWidth="1"/>
    <col min="775" max="775" width="10.42578125" customWidth="1"/>
    <col min="777" max="777" width="11" customWidth="1"/>
    <col min="778" max="778" width="9.5703125" bestFit="1" customWidth="1"/>
    <col min="1031" max="1031" width="10.42578125" customWidth="1"/>
    <col min="1033" max="1033" width="11" customWidth="1"/>
    <col min="1034" max="1034" width="9.5703125" bestFit="1" customWidth="1"/>
    <col min="1287" max="1287" width="10.42578125" customWidth="1"/>
    <col min="1289" max="1289" width="11" customWidth="1"/>
    <col min="1290" max="1290" width="9.5703125" bestFit="1" customWidth="1"/>
    <col min="1543" max="1543" width="10.42578125" customWidth="1"/>
    <col min="1545" max="1545" width="11" customWidth="1"/>
    <col min="1546" max="1546" width="9.5703125" bestFit="1" customWidth="1"/>
    <col min="1799" max="1799" width="10.42578125" customWidth="1"/>
    <col min="1801" max="1801" width="11" customWidth="1"/>
    <col min="1802" max="1802" width="9.5703125" bestFit="1" customWidth="1"/>
    <col min="2055" max="2055" width="10.42578125" customWidth="1"/>
    <col min="2057" max="2057" width="11" customWidth="1"/>
    <col min="2058" max="2058" width="9.5703125" bestFit="1" customWidth="1"/>
    <col min="2311" max="2311" width="10.42578125" customWidth="1"/>
    <col min="2313" max="2313" width="11" customWidth="1"/>
    <col min="2314" max="2314" width="9.5703125" bestFit="1" customWidth="1"/>
    <col min="2567" max="2567" width="10.42578125" customWidth="1"/>
    <col min="2569" max="2569" width="11" customWidth="1"/>
    <col min="2570" max="2570" width="9.5703125" bestFit="1" customWidth="1"/>
    <col min="2823" max="2823" width="10.42578125" customWidth="1"/>
    <col min="2825" max="2825" width="11" customWidth="1"/>
    <col min="2826" max="2826" width="9.5703125" bestFit="1" customWidth="1"/>
    <col min="3079" max="3079" width="10.42578125" customWidth="1"/>
    <col min="3081" max="3081" width="11" customWidth="1"/>
    <col min="3082" max="3082" width="9.5703125" bestFit="1" customWidth="1"/>
    <col min="3335" max="3335" width="10.42578125" customWidth="1"/>
    <col min="3337" max="3337" width="11" customWidth="1"/>
    <col min="3338" max="3338" width="9.5703125" bestFit="1" customWidth="1"/>
    <col min="3591" max="3591" width="10.42578125" customWidth="1"/>
    <col min="3593" max="3593" width="11" customWidth="1"/>
    <col min="3594" max="3594" width="9.5703125" bestFit="1" customWidth="1"/>
    <col min="3847" max="3847" width="10.42578125" customWidth="1"/>
    <col min="3849" max="3849" width="11" customWidth="1"/>
    <col min="3850" max="3850" width="9.5703125" bestFit="1" customWidth="1"/>
    <col min="4103" max="4103" width="10.42578125" customWidth="1"/>
    <col min="4105" max="4105" width="11" customWidth="1"/>
    <col min="4106" max="4106" width="9.5703125" bestFit="1" customWidth="1"/>
    <col min="4359" max="4359" width="10.42578125" customWidth="1"/>
    <col min="4361" max="4361" width="11" customWidth="1"/>
    <col min="4362" max="4362" width="9.5703125" bestFit="1" customWidth="1"/>
    <col min="4615" max="4615" width="10.42578125" customWidth="1"/>
    <col min="4617" max="4617" width="11" customWidth="1"/>
    <col min="4618" max="4618" width="9.5703125" bestFit="1" customWidth="1"/>
    <col min="4871" max="4871" width="10.42578125" customWidth="1"/>
    <col min="4873" max="4873" width="11" customWidth="1"/>
    <col min="4874" max="4874" width="9.5703125" bestFit="1" customWidth="1"/>
    <col min="5127" max="5127" width="10.42578125" customWidth="1"/>
    <col min="5129" max="5129" width="11" customWidth="1"/>
    <col min="5130" max="5130" width="9.5703125" bestFit="1" customWidth="1"/>
    <col min="5383" max="5383" width="10.42578125" customWidth="1"/>
    <col min="5385" max="5385" width="11" customWidth="1"/>
    <col min="5386" max="5386" width="9.5703125" bestFit="1" customWidth="1"/>
    <col min="5639" max="5639" width="10.42578125" customWidth="1"/>
    <col min="5641" max="5641" width="11" customWidth="1"/>
    <col min="5642" max="5642" width="9.5703125" bestFit="1" customWidth="1"/>
    <col min="5895" max="5895" width="10.42578125" customWidth="1"/>
    <col min="5897" max="5897" width="11" customWidth="1"/>
    <col min="5898" max="5898" width="9.5703125" bestFit="1" customWidth="1"/>
    <col min="6151" max="6151" width="10.42578125" customWidth="1"/>
    <col min="6153" max="6153" width="11" customWidth="1"/>
    <col min="6154" max="6154" width="9.5703125" bestFit="1" customWidth="1"/>
    <col min="6407" max="6407" width="10.42578125" customWidth="1"/>
    <col min="6409" max="6409" width="11" customWidth="1"/>
    <col min="6410" max="6410" width="9.5703125" bestFit="1" customWidth="1"/>
    <col min="6663" max="6663" width="10.42578125" customWidth="1"/>
    <col min="6665" max="6665" width="11" customWidth="1"/>
    <col min="6666" max="6666" width="9.5703125" bestFit="1" customWidth="1"/>
    <col min="6919" max="6919" width="10.42578125" customWidth="1"/>
    <col min="6921" max="6921" width="11" customWidth="1"/>
    <col min="6922" max="6922" width="9.5703125" bestFit="1" customWidth="1"/>
    <col min="7175" max="7175" width="10.42578125" customWidth="1"/>
    <col min="7177" max="7177" width="11" customWidth="1"/>
    <col min="7178" max="7178" width="9.5703125" bestFit="1" customWidth="1"/>
    <col min="7431" max="7431" width="10.42578125" customWidth="1"/>
    <col min="7433" max="7433" width="11" customWidth="1"/>
    <col min="7434" max="7434" width="9.5703125" bestFit="1" customWidth="1"/>
    <col min="7687" max="7687" width="10.42578125" customWidth="1"/>
    <col min="7689" max="7689" width="11" customWidth="1"/>
    <col min="7690" max="7690" width="9.5703125" bestFit="1" customWidth="1"/>
    <col min="7943" max="7943" width="10.42578125" customWidth="1"/>
    <col min="7945" max="7945" width="11" customWidth="1"/>
    <col min="7946" max="7946" width="9.5703125" bestFit="1" customWidth="1"/>
    <col min="8199" max="8199" width="10.42578125" customWidth="1"/>
    <col min="8201" max="8201" width="11" customWidth="1"/>
    <col min="8202" max="8202" width="9.5703125" bestFit="1" customWidth="1"/>
    <col min="8455" max="8455" width="10.42578125" customWidth="1"/>
    <col min="8457" max="8457" width="11" customWidth="1"/>
    <col min="8458" max="8458" width="9.5703125" bestFit="1" customWidth="1"/>
    <col min="8711" max="8711" width="10.42578125" customWidth="1"/>
    <col min="8713" max="8713" width="11" customWidth="1"/>
    <col min="8714" max="8714" width="9.5703125" bestFit="1" customWidth="1"/>
    <col min="8967" max="8967" width="10.42578125" customWidth="1"/>
    <col min="8969" max="8969" width="11" customWidth="1"/>
    <col min="8970" max="8970" width="9.5703125" bestFit="1" customWidth="1"/>
    <col min="9223" max="9223" width="10.42578125" customWidth="1"/>
    <col min="9225" max="9225" width="11" customWidth="1"/>
    <col min="9226" max="9226" width="9.5703125" bestFit="1" customWidth="1"/>
    <col min="9479" max="9479" width="10.42578125" customWidth="1"/>
    <col min="9481" max="9481" width="11" customWidth="1"/>
    <col min="9482" max="9482" width="9.5703125" bestFit="1" customWidth="1"/>
    <col min="9735" max="9735" width="10.42578125" customWidth="1"/>
    <col min="9737" max="9737" width="11" customWidth="1"/>
    <col min="9738" max="9738" width="9.5703125" bestFit="1" customWidth="1"/>
    <col min="9991" max="9991" width="10.42578125" customWidth="1"/>
    <col min="9993" max="9993" width="11" customWidth="1"/>
    <col min="9994" max="9994" width="9.5703125" bestFit="1" customWidth="1"/>
    <col min="10247" max="10247" width="10.42578125" customWidth="1"/>
    <col min="10249" max="10249" width="11" customWidth="1"/>
    <col min="10250" max="10250" width="9.5703125" bestFit="1" customWidth="1"/>
    <col min="10503" max="10503" width="10.42578125" customWidth="1"/>
    <col min="10505" max="10505" width="11" customWidth="1"/>
    <col min="10506" max="10506" width="9.5703125" bestFit="1" customWidth="1"/>
    <col min="10759" max="10759" width="10.42578125" customWidth="1"/>
    <col min="10761" max="10761" width="11" customWidth="1"/>
    <col min="10762" max="10762" width="9.5703125" bestFit="1" customWidth="1"/>
    <col min="11015" max="11015" width="10.42578125" customWidth="1"/>
    <col min="11017" max="11017" width="11" customWidth="1"/>
    <col min="11018" max="11018" width="9.5703125" bestFit="1" customWidth="1"/>
    <col min="11271" max="11271" width="10.42578125" customWidth="1"/>
    <col min="11273" max="11273" width="11" customWidth="1"/>
    <col min="11274" max="11274" width="9.5703125" bestFit="1" customWidth="1"/>
    <col min="11527" max="11527" width="10.42578125" customWidth="1"/>
    <col min="11529" max="11529" width="11" customWidth="1"/>
    <col min="11530" max="11530" width="9.5703125" bestFit="1" customWidth="1"/>
    <col min="11783" max="11783" width="10.42578125" customWidth="1"/>
    <col min="11785" max="11785" width="11" customWidth="1"/>
    <col min="11786" max="11786" width="9.5703125" bestFit="1" customWidth="1"/>
    <col min="12039" max="12039" width="10.42578125" customWidth="1"/>
    <col min="12041" max="12041" width="11" customWidth="1"/>
    <col min="12042" max="12042" width="9.5703125" bestFit="1" customWidth="1"/>
    <col min="12295" max="12295" width="10.42578125" customWidth="1"/>
    <col min="12297" max="12297" width="11" customWidth="1"/>
    <col min="12298" max="12298" width="9.5703125" bestFit="1" customWidth="1"/>
    <col min="12551" max="12551" width="10.42578125" customWidth="1"/>
    <col min="12553" max="12553" width="11" customWidth="1"/>
    <col min="12554" max="12554" width="9.5703125" bestFit="1" customWidth="1"/>
    <col min="12807" max="12807" width="10.42578125" customWidth="1"/>
    <col min="12809" max="12809" width="11" customWidth="1"/>
    <col min="12810" max="12810" width="9.5703125" bestFit="1" customWidth="1"/>
    <col min="13063" max="13063" width="10.42578125" customWidth="1"/>
    <col min="13065" max="13065" width="11" customWidth="1"/>
    <col min="13066" max="13066" width="9.5703125" bestFit="1" customWidth="1"/>
    <col min="13319" max="13319" width="10.42578125" customWidth="1"/>
    <col min="13321" max="13321" width="11" customWidth="1"/>
    <col min="13322" max="13322" width="9.5703125" bestFit="1" customWidth="1"/>
    <col min="13575" max="13575" width="10.42578125" customWidth="1"/>
    <col min="13577" max="13577" width="11" customWidth="1"/>
    <col min="13578" max="13578" width="9.5703125" bestFit="1" customWidth="1"/>
    <col min="13831" max="13831" width="10.42578125" customWidth="1"/>
    <col min="13833" max="13833" width="11" customWidth="1"/>
    <col min="13834" max="13834" width="9.5703125" bestFit="1" customWidth="1"/>
    <col min="14087" max="14087" width="10.42578125" customWidth="1"/>
    <col min="14089" max="14089" width="11" customWidth="1"/>
    <col min="14090" max="14090" width="9.5703125" bestFit="1" customWidth="1"/>
    <col min="14343" max="14343" width="10.42578125" customWidth="1"/>
    <col min="14345" max="14345" width="11" customWidth="1"/>
    <col min="14346" max="14346" width="9.5703125" bestFit="1" customWidth="1"/>
    <col min="14599" max="14599" width="10.42578125" customWidth="1"/>
    <col min="14601" max="14601" width="11" customWidth="1"/>
    <col min="14602" max="14602" width="9.5703125" bestFit="1" customWidth="1"/>
    <col min="14855" max="14855" width="10.42578125" customWidth="1"/>
    <col min="14857" max="14857" width="11" customWidth="1"/>
    <col min="14858" max="14858" width="9.5703125" bestFit="1" customWidth="1"/>
    <col min="15111" max="15111" width="10.42578125" customWidth="1"/>
    <col min="15113" max="15113" width="11" customWidth="1"/>
    <col min="15114" max="15114" width="9.5703125" bestFit="1" customWidth="1"/>
    <col min="15367" max="15367" width="10.42578125" customWidth="1"/>
    <col min="15369" max="15369" width="11" customWidth="1"/>
    <col min="15370" max="15370" width="9.5703125" bestFit="1" customWidth="1"/>
    <col min="15623" max="15623" width="10.42578125" customWidth="1"/>
    <col min="15625" max="15625" width="11" customWidth="1"/>
    <col min="15626" max="15626" width="9.5703125" bestFit="1" customWidth="1"/>
    <col min="15879" max="15879" width="10.42578125" customWidth="1"/>
    <col min="15881" max="15881" width="11" customWidth="1"/>
    <col min="15882" max="15882" width="9.5703125" bestFit="1" customWidth="1"/>
    <col min="16135" max="16135" width="10.42578125" customWidth="1"/>
    <col min="16137" max="16137" width="11" customWidth="1"/>
    <col min="16138" max="16138" width="9.5703125" bestFit="1" customWidth="1"/>
  </cols>
  <sheetData>
    <row r="1" spans="1:12" ht="22.5" customHeight="1" x14ac:dyDescent="0.25">
      <c r="A1" s="1" t="s">
        <v>0</v>
      </c>
      <c r="F1" s="9" t="s">
        <v>1</v>
      </c>
      <c r="G1" s="10"/>
      <c r="H1" s="10"/>
      <c r="I1" s="10"/>
      <c r="J1" s="10"/>
      <c r="K1" s="10"/>
      <c r="L1" s="11"/>
    </row>
    <row r="2" spans="1:12" ht="22.5" customHeight="1" thickBot="1" x14ac:dyDescent="0.25">
      <c r="F2" s="12"/>
      <c r="G2" s="13"/>
      <c r="H2" s="13"/>
      <c r="I2" s="13"/>
      <c r="J2" s="13"/>
      <c r="K2" s="13"/>
      <c r="L2" s="14"/>
    </row>
    <row r="3" spans="1:12" ht="38.25" x14ac:dyDescent="0.2">
      <c r="A3" s="2" t="s">
        <v>2</v>
      </c>
      <c r="B3" s="2">
        <v>1995</v>
      </c>
      <c r="C3" s="2">
        <v>1996</v>
      </c>
      <c r="D3" s="2">
        <v>1997</v>
      </c>
      <c r="E3" s="2">
        <v>1998</v>
      </c>
      <c r="F3" s="3">
        <v>1999</v>
      </c>
      <c r="G3" s="3">
        <v>2000</v>
      </c>
      <c r="H3" s="3" t="s">
        <v>3</v>
      </c>
      <c r="I3" s="4" t="s">
        <v>4</v>
      </c>
      <c r="J3" s="4" t="s">
        <v>5</v>
      </c>
    </row>
    <row r="4" spans="1:12" x14ac:dyDescent="0.2">
      <c r="A4" s="2" t="s">
        <v>6</v>
      </c>
      <c r="B4" s="5">
        <v>750</v>
      </c>
      <c r="C4" s="5">
        <f>B4+B4*7%</f>
        <v>802.5</v>
      </c>
      <c r="D4" s="5">
        <f>C4+C4*7%</f>
        <v>858.67499999999995</v>
      </c>
      <c r="E4" s="5">
        <f>D4+D4*7%</f>
        <v>918.78224999999998</v>
      </c>
      <c r="F4" s="5">
        <f>E4+E4*7%</f>
        <v>983.09700750000002</v>
      </c>
      <c r="G4" s="2">
        <f>F4+F4*7%</f>
        <v>1051.913798025</v>
      </c>
      <c r="H4" s="2">
        <f>SUM(B4:G4)</f>
        <v>5364.9680555249997</v>
      </c>
      <c r="I4" s="6">
        <f>F4/B4%-100</f>
        <v>31.079600999999997</v>
      </c>
      <c r="J4" s="6">
        <f>H4/$H$8%</f>
        <v>31.413188891481102</v>
      </c>
    </row>
    <row r="5" spans="1:12" x14ac:dyDescent="0.2">
      <c r="A5" s="2" t="s">
        <v>7</v>
      </c>
      <c r="B5" s="5">
        <v>440</v>
      </c>
      <c r="C5" s="5">
        <f>B5-B5*3%</f>
        <v>426.8</v>
      </c>
      <c r="D5" s="5">
        <f>C5-C5*3%</f>
        <v>413.99600000000004</v>
      </c>
      <c r="E5" s="5">
        <f>D5-D5*3%</f>
        <v>401.57612000000006</v>
      </c>
      <c r="F5" s="5">
        <f>E5-E5*3%</f>
        <v>389.52883640000005</v>
      </c>
      <c r="G5" s="2">
        <f>F5-F5*3%</f>
        <v>377.84297130800007</v>
      </c>
      <c r="H5" s="2">
        <f>SUM(B5:G5)</f>
        <v>2449.7439277079998</v>
      </c>
      <c r="I5" s="6">
        <f>F5/B5%-100</f>
        <v>-11.470719000000003</v>
      </c>
      <c r="J5" s="6">
        <f>H5/$H$8%</f>
        <v>14.343844723847047</v>
      </c>
    </row>
    <row r="6" spans="1:12" x14ac:dyDescent="0.2">
      <c r="A6" s="2" t="s">
        <v>8</v>
      </c>
      <c r="B6" s="5">
        <v>920</v>
      </c>
      <c r="C6" s="5">
        <f>B6+$B$6*4%</f>
        <v>956.8</v>
      </c>
      <c r="D6" s="5">
        <f>C6+$B$6*4%</f>
        <v>993.59999999999991</v>
      </c>
      <c r="E6" s="5">
        <f>D6+$B$6*4%</f>
        <v>1030.3999999999999</v>
      </c>
      <c r="F6" s="5">
        <f>E6+$B$6*4%</f>
        <v>1067.1999999999998</v>
      </c>
      <c r="G6" s="2">
        <f>F6+$B$6*4%</f>
        <v>1103.9999999999998</v>
      </c>
      <c r="H6" s="2">
        <f>SUM(B6:G6)</f>
        <v>6071.9999999999991</v>
      </c>
      <c r="I6" s="6">
        <f>F6/B6%-100</f>
        <v>15.999999999999986</v>
      </c>
      <c r="J6" s="6">
        <f>H6/$H$8%</f>
        <v>35.553032371300461</v>
      </c>
    </row>
    <row r="7" spans="1:12" x14ac:dyDescent="0.2">
      <c r="A7" s="2" t="s">
        <v>9</v>
      </c>
      <c r="B7" s="5">
        <v>560</v>
      </c>
      <c r="C7" s="5">
        <f>B7-$B$7*2%</f>
        <v>548.79999999999995</v>
      </c>
      <c r="D7" s="5">
        <f>C7-$B$7*2%</f>
        <v>537.59999999999991</v>
      </c>
      <c r="E7" s="5">
        <f>D7-$B$7*2%</f>
        <v>526.39999999999986</v>
      </c>
      <c r="F7" s="5">
        <f>E7-$B$7*2%</f>
        <v>515.19999999999982</v>
      </c>
      <c r="G7" s="2">
        <f>F7-$B$7*2%</f>
        <v>503.99999999999983</v>
      </c>
      <c r="H7" s="2">
        <f>SUM(B7:G7)</f>
        <v>3191.9999999999995</v>
      </c>
      <c r="I7" s="6">
        <f>F7/B7%-100</f>
        <v>-8.0000000000000284</v>
      </c>
      <c r="J7" s="6">
        <f>H7/$H$8%</f>
        <v>18.689934013371388</v>
      </c>
    </row>
    <row r="8" spans="1:12" x14ac:dyDescent="0.2">
      <c r="A8" s="2" t="s">
        <v>10</v>
      </c>
      <c r="B8" s="5">
        <f t="shared" ref="B8:G8" si="0">SUM(B3:B7)</f>
        <v>4665</v>
      </c>
      <c r="C8" s="5">
        <f t="shared" si="0"/>
        <v>4730.9000000000005</v>
      </c>
      <c r="D8" s="5">
        <f t="shared" si="0"/>
        <v>4800.871000000001</v>
      </c>
      <c r="E8" s="5">
        <f t="shared" si="0"/>
        <v>4875.1583700000001</v>
      </c>
      <c r="F8" s="5">
        <f t="shared" si="0"/>
        <v>4954.0258438999999</v>
      </c>
      <c r="G8" s="5">
        <f t="shared" si="0"/>
        <v>5037.7567693329993</v>
      </c>
      <c r="H8" s="2">
        <f>SUM(H4:H7)</f>
        <v>17078.711983232999</v>
      </c>
      <c r="I8" s="2">
        <f>SUM(I4:I7)</f>
        <v>27.608881999999952</v>
      </c>
      <c r="J8" s="7">
        <f>SUM(J4:J7)</f>
        <v>100</v>
      </c>
    </row>
  </sheetData>
  <mergeCells count="1">
    <mergeCell ref="F1:L2"/>
  </mergeCells>
  <pageMargins left="0.78740157499999996" right="0.78740157499999996" top="0.984251969" bottom="0.984251969" header="0.4921259845" footer="0.4921259845"/>
  <pageSetup paperSize="9" orientation="portrait" horizontalDpi="120" verticalDpi="144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B350-7DBB-4718-9C5B-C108510D17D7}">
  <dimension ref="A1:E14"/>
  <sheetViews>
    <sheetView workbookViewId="0">
      <selection activeCell="D10" sqref="D10"/>
    </sheetView>
  </sheetViews>
  <sheetFormatPr defaultRowHeight="12.75" x14ac:dyDescent="0.2"/>
  <cols>
    <col min="2" max="2" width="13.7109375" customWidth="1"/>
    <col min="3" max="5" width="12.7109375" customWidth="1"/>
    <col min="258" max="258" width="13.7109375" customWidth="1"/>
    <col min="259" max="261" width="12.7109375" customWidth="1"/>
    <col min="514" max="514" width="13.7109375" customWidth="1"/>
    <col min="515" max="517" width="12.7109375" customWidth="1"/>
    <col min="770" max="770" width="13.7109375" customWidth="1"/>
    <col min="771" max="773" width="12.7109375" customWidth="1"/>
    <col min="1026" max="1026" width="13.7109375" customWidth="1"/>
    <col min="1027" max="1029" width="12.7109375" customWidth="1"/>
    <col min="1282" max="1282" width="13.7109375" customWidth="1"/>
    <col min="1283" max="1285" width="12.7109375" customWidth="1"/>
    <col min="1538" max="1538" width="13.7109375" customWidth="1"/>
    <col min="1539" max="1541" width="12.7109375" customWidth="1"/>
    <col min="1794" max="1794" width="13.7109375" customWidth="1"/>
    <col min="1795" max="1797" width="12.7109375" customWidth="1"/>
    <col min="2050" max="2050" width="13.7109375" customWidth="1"/>
    <col min="2051" max="2053" width="12.7109375" customWidth="1"/>
    <col min="2306" max="2306" width="13.7109375" customWidth="1"/>
    <col min="2307" max="2309" width="12.7109375" customWidth="1"/>
    <col min="2562" max="2562" width="13.7109375" customWidth="1"/>
    <col min="2563" max="2565" width="12.7109375" customWidth="1"/>
    <col min="2818" max="2818" width="13.7109375" customWidth="1"/>
    <col min="2819" max="2821" width="12.7109375" customWidth="1"/>
    <col min="3074" max="3074" width="13.7109375" customWidth="1"/>
    <col min="3075" max="3077" width="12.7109375" customWidth="1"/>
    <col min="3330" max="3330" width="13.7109375" customWidth="1"/>
    <col min="3331" max="3333" width="12.7109375" customWidth="1"/>
    <col min="3586" max="3586" width="13.7109375" customWidth="1"/>
    <col min="3587" max="3589" width="12.7109375" customWidth="1"/>
    <col min="3842" max="3842" width="13.7109375" customWidth="1"/>
    <col min="3843" max="3845" width="12.7109375" customWidth="1"/>
    <col min="4098" max="4098" width="13.7109375" customWidth="1"/>
    <col min="4099" max="4101" width="12.7109375" customWidth="1"/>
    <col min="4354" max="4354" width="13.7109375" customWidth="1"/>
    <col min="4355" max="4357" width="12.7109375" customWidth="1"/>
    <col min="4610" max="4610" width="13.7109375" customWidth="1"/>
    <col min="4611" max="4613" width="12.7109375" customWidth="1"/>
    <col min="4866" max="4866" width="13.7109375" customWidth="1"/>
    <col min="4867" max="4869" width="12.7109375" customWidth="1"/>
    <col min="5122" max="5122" width="13.7109375" customWidth="1"/>
    <col min="5123" max="5125" width="12.7109375" customWidth="1"/>
    <col min="5378" max="5378" width="13.7109375" customWidth="1"/>
    <col min="5379" max="5381" width="12.7109375" customWidth="1"/>
    <col min="5634" max="5634" width="13.7109375" customWidth="1"/>
    <col min="5635" max="5637" width="12.7109375" customWidth="1"/>
    <col min="5890" max="5890" width="13.7109375" customWidth="1"/>
    <col min="5891" max="5893" width="12.7109375" customWidth="1"/>
    <col min="6146" max="6146" width="13.7109375" customWidth="1"/>
    <col min="6147" max="6149" width="12.7109375" customWidth="1"/>
    <col min="6402" max="6402" width="13.7109375" customWidth="1"/>
    <col min="6403" max="6405" width="12.7109375" customWidth="1"/>
    <col min="6658" max="6658" width="13.7109375" customWidth="1"/>
    <col min="6659" max="6661" width="12.7109375" customWidth="1"/>
    <col min="6914" max="6914" width="13.7109375" customWidth="1"/>
    <col min="6915" max="6917" width="12.7109375" customWidth="1"/>
    <col min="7170" max="7170" width="13.7109375" customWidth="1"/>
    <col min="7171" max="7173" width="12.7109375" customWidth="1"/>
    <col min="7426" max="7426" width="13.7109375" customWidth="1"/>
    <col min="7427" max="7429" width="12.7109375" customWidth="1"/>
    <col min="7682" max="7682" width="13.7109375" customWidth="1"/>
    <col min="7683" max="7685" width="12.7109375" customWidth="1"/>
    <col min="7938" max="7938" width="13.7109375" customWidth="1"/>
    <col min="7939" max="7941" width="12.7109375" customWidth="1"/>
    <col min="8194" max="8194" width="13.7109375" customWidth="1"/>
    <col min="8195" max="8197" width="12.7109375" customWidth="1"/>
    <col min="8450" max="8450" width="13.7109375" customWidth="1"/>
    <col min="8451" max="8453" width="12.7109375" customWidth="1"/>
    <col min="8706" max="8706" width="13.7109375" customWidth="1"/>
    <col min="8707" max="8709" width="12.7109375" customWidth="1"/>
    <col min="8962" max="8962" width="13.7109375" customWidth="1"/>
    <col min="8963" max="8965" width="12.7109375" customWidth="1"/>
    <col min="9218" max="9218" width="13.7109375" customWidth="1"/>
    <col min="9219" max="9221" width="12.7109375" customWidth="1"/>
    <col min="9474" max="9474" width="13.7109375" customWidth="1"/>
    <col min="9475" max="9477" width="12.7109375" customWidth="1"/>
    <col min="9730" max="9730" width="13.7109375" customWidth="1"/>
    <col min="9731" max="9733" width="12.7109375" customWidth="1"/>
    <col min="9986" max="9986" width="13.7109375" customWidth="1"/>
    <col min="9987" max="9989" width="12.7109375" customWidth="1"/>
    <col min="10242" max="10242" width="13.7109375" customWidth="1"/>
    <col min="10243" max="10245" width="12.7109375" customWidth="1"/>
    <col min="10498" max="10498" width="13.7109375" customWidth="1"/>
    <col min="10499" max="10501" width="12.7109375" customWidth="1"/>
    <col min="10754" max="10754" width="13.7109375" customWidth="1"/>
    <col min="10755" max="10757" width="12.7109375" customWidth="1"/>
    <col min="11010" max="11010" width="13.7109375" customWidth="1"/>
    <col min="11011" max="11013" width="12.7109375" customWidth="1"/>
    <col min="11266" max="11266" width="13.7109375" customWidth="1"/>
    <col min="11267" max="11269" width="12.7109375" customWidth="1"/>
    <col min="11522" max="11522" width="13.7109375" customWidth="1"/>
    <col min="11523" max="11525" width="12.7109375" customWidth="1"/>
    <col min="11778" max="11778" width="13.7109375" customWidth="1"/>
    <col min="11779" max="11781" width="12.7109375" customWidth="1"/>
    <col min="12034" max="12034" width="13.7109375" customWidth="1"/>
    <col min="12035" max="12037" width="12.7109375" customWidth="1"/>
    <col min="12290" max="12290" width="13.7109375" customWidth="1"/>
    <col min="12291" max="12293" width="12.7109375" customWidth="1"/>
    <col min="12546" max="12546" width="13.7109375" customWidth="1"/>
    <col min="12547" max="12549" width="12.7109375" customWidth="1"/>
    <col min="12802" max="12802" width="13.7109375" customWidth="1"/>
    <col min="12803" max="12805" width="12.7109375" customWidth="1"/>
    <col min="13058" max="13058" width="13.7109375" customWidth="1"/>
    <col min="13059" max="13061" width="12.7109375" customWidth="1"/>
    <col min="13314" max="13314" width="13.7109375" customWidth="1"/>
    <col min="13315" max="13317" width="12.7109375" customWidth="1"/>
    <col min="13570" max="13570" width="13.7109375" customWidth="1"/>
    <col min="13571" max="13573" width="12.7109375" customWidth="1"/>
    <col min="13826" max="13826" width="13.7109375" customWidth="1"/>
    <col min="13827" max="13829" width="12.7109375" customWidth="1"/>
    <col min="14082" max="14082" width="13.7109375" customWidth="1"/>
    <col min="14083" max="14085" width="12.7109375" customWidth="1"/>
    <col min="14338" max="14338" width="13.7109375" customWidth="1"/>
    <col min="14339" max="14341" width="12.7109375" customWidth="1"/>
    <col min="14594" max="14594" width="13.7109375" customWidth="1"/>
    <col min="14595" max="14597" width="12.7109375" customWidth="1"/>
    <col min="14850" max="14850" width="13.7109375" customWidth="1"/>
    <col min="14851" max="14853" width="12.7109375" customWidth="1"/>
    <col min="15106" max="15106" width="13.7109375" customWidth="1"/>
    <col min="15107" max="15109" width="12.7109375" customWidth="1"/>
    <col min="15362" max="15362" width="13.7109375" customWidth="1"/>
    <col min="15363" max="15365" width="12.7109375" customWidth="1"/>
    <col min="15618" max="15618" width="13.7109375" customWidth="1"/>
    <col min="15619" max="15621" width="12.7109375" customWidth="1"/>
    <col min="15874" max="15874" width="13.7109375" customWidth="1"/>
    <col min="15875" max="15877" width="12.7109375" customWidth="1"/>
    <col min="16130" max="16130" width="13.7109375" customWidth="1"/>
    <col min="16131" max="16133" width="12.7109375" customWidth="1"/>
  </cols>
  <sheetData>
    <row r="1" spans="1:5" ht="15.75" x14ac:dyDescent="0.25">
      <c r="A1" s="1" t="s">
        <v>48</v>
      </c>
    </row>
    <row r="2" spans="1:5" x14ac:dyDescent="0.2">
      <c r="A2" s="15" t="s">
        <v>49</v>
      </c>
      <c r="B2" s="15" t="s">
        <v>50</v>
      </c>
      <c r="C2" s="16" t="s">
        <v>51</v>
      </c>
      <c r="D2" s="16"/>
      <c r="E2" s="16"/>
    </row>
    <row r="3" spans="1:5" x14ac:dyDescent="0.2">
      <c r="A3" s="15"/>
      <c r="B3" s="15"/>
      <c r="C3" s="17" t="s">
        <v>52</v>
      </c>
      <c r="D3" s="17" t="s">
        <v>50</v>
      </c>
      <c r="E3" s="17" t="s">
        <v>53</v>
      </c>
    </row>
    <row r="4" spans="1:5" x14ac:dyDescent="0.2">
      <c r="A4" s="2" t="s">
        <v>54</v>
      </c>
      <c r="B4" s="2">
        <v>4586.2560000000003</v>
      </c>
      <c r="C4" s="2"/>
      <c r="D4" s="2"/>
      <c r="E4" s="2"/>
    </row>
    <row r="5" spans="1:5" x14ac:dyDescent="0.2">
      <c r="A5" s="2" t="s">
        <v>55</v>
      </c>
      <c r="B5" s="2">
        <v>325.44439999999997</v>
      </c>
      <c r="C5" s="2"/>
      <c r="D5" s="2"/>
      <c r="E5" s="2"/>
    </row>
    <row r="6" spans="1:5" x14ac:dyDescent="0.2">
      <c r="A6" s="2" t="s">
        <v>56</v>
      </c>
      <c r="B6" s="2">
        <v>1354.8566659999999</v>
      </c>
      <c r="C6" s="2"/>
      <c r="D6" s="2"/>
      <c r="E6" s="2"/>
    </row>
    <row r="7" spans="1:5" x14ac:dyDescent="0.2">
      <c r="A7" s="2" t="s">
        <v>57</v>
      </c>
      <c r="B7" s="2">
        <v>15.484999999999999</v>
      </c>
      <c r="C7" s="2"/>
      <c r="D7" s="2"/>
      <c r="E7" s="2"/>
    </row>
    <row r="8" spans="1:5" x14ac:dyDescent="0.2">
      <c r="A8" s="2" t="s">
        <v>58</v>
      </c>
      <c r="B8" s="2">
        <v>11.565955499999999</v>
      </c>
      <c r="C8" s="2"/>
      <c r="D8" s="2"/>
      <c r="E8" s="2"/>
    </row>
    <row r="9" spans="1:5" x14ac:dyDescent="0.2">
      <c r="A9" s="2" t="s">
        <v>59</v>
      </c>
      <c r="B9" s="2">
        <v>12585.323329999999</v>
      </c>
      <c r="C9" s="2"/>
      <c r="D9" s="2"/>
      <c r="E9" s="2"/>
    </row>
    <row r="10" spans="1:5" x14ac:dyDescent="0.2">
      <c r="A10" s="2" t="s">
        <v>60</v>
      </c>
      <c r="B10" s="2">
        <v>1111.1111109999999</v>
      </c>
      <c r="C10" s="2"/>
      <c r="D10" s="2"/>
      <c r="E10" s="2"/>
    </row>
    <row r="11" spans="1:5" x14ac:dyDescent="0.2">
      <c r="A11" s="2" t="s">
        <v>61</v>
      </c>
      <c r="B11" s="2">
        <v>9999.9999989999997</v>
      </c>
      <c r="C11" s="2"/>
      <c r="D11" s="2"/>
      <c r="E11" s="2"/>
    </row>
    <row r="12" spans="1:5" x14ac:dyDescent="0.2">
      <c r="A12" s="2" t="s">
        <v>62</v>
      </c>
      <c r="B12" s="2">
        <v>1254.8456200000001</v>
      </c>
      <c r="C12" s="2"/>
      <c r="D12" s="2"/>
      <c r="E12" s="2"/>
    </row>
    <row r="13" spans="1:5" x14ac:dyDescent="0.2">
      <c r="A13" s="2" t="s">
        <v>63</v>
      </c>
      <c r="B13" s="2">
        <v>1546.8784000000001</v>
      </c>
      <c r="C13" s="2"/>
      <c r="D13" s="2"/>
      <c r="E13" s="2"/>
    </row>
    <row r="14" spans="1:5" x14ac:dyDescent="0.2">
      <c r="A14" s="18" t="s">
        <v>10</v>
      </c>
      <c r="B14" s="18"/>
      <c r="C14" s="18"/>
      <c r="D14" s="18"/>
      <c r="E14" s="18"/>
    </row>
  </sheetData>
  <mergeCells count="3">
    <mergeCell ref="A2:A3"/>
    <mergeCell ref="B2:B3"/>
    <mergeCell ref="C2:E2"/>
  </mergeCells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C182-C8C6-424C-817C-B966E1C29C47}">
  <dimension ref="A1:G15"/>
  <sheetViews>
    <sheetView workbookViewId="0">
      <selection activeCell="C6" sqref="C6"/>
    </sheetView>
  </sheetViews>
  <sheetFormatPr defaultRowHeight="12.75" x14ac:dyDescent="0.2"/>
  <cols>
    <col min="2" max="2" width="9" customWidth="1"/>
    <col min="3" max="3" width="24.140625" customWidth="1"/>
    <col min="4" max="4" width="9.28515625" customWidth="1"/>
    <col min="7" max="7" width="18.7109375" customWidth="1"/>
    <col min="258" max="258" width="9" customWidth="1"/>
    <col min="259" max="259" width="24.140625" customWidth="1"/>
    <col min="260" max="260" width="9.28515625" customWidth="1"/>
    <col min="263" max="263" width="18.7109375" customWidth="1"/>
    <col min="514" max="514" width="9" customWidth="1"/>
    <col min="515" max="515" width="24.140625" customWidth="1"/>
    <col min="516" max="516" width="9.28515625" customWidth="1"/>
    <col min="519" max="519" width="18.7109375" customWidth="1"/>
    <col min="770" max="770" width="9" customWidth="1"/>
    <col min="771" max="771" width="24.140625" customWidth="1"/>
    <col min="772" max="772" width="9.28515625" customWidth="1"/>
    <col min="775" max="775" width="18.7109375" customWidth="1"/>
    <col min="1026" max="1026" width="9" customWidth="1"/>
    <col min="1027" max="1027" width="24.140625" customWidth="1"/>
    <col min="1028" max="1028" width="9.28515625" customWidth="1"/>
    <col min="1031" max="1031" width="18.7109375" customWidth="1"/>
    <col min="1282" max="1282" width="9" customWidth="1"/>
    <col min="1283" max="1283" width="24.140625" customWidth="1"/>
    <col min="1284" max="1284" width="9.28515625" customWidth="1"/>
    <col min="1287" max="1287" width="18.7109375" customWidth="1"/>
    <col min="1538" max="1538" width="9" customWidth="1"/>
    <col min="1539" max="1539" width="24.140625" customWidth="1"/>
    <col min="1540" max="1540" width="9.28515625" customWidth="1"/>
    <col min="1543" max="1543" width="18.7109375" customWidth="1"/>
    <col min="1794" max="1794" width="9" customWidth="1"/>
    <col min="1795" max="1795" width="24.140625" customWidth="1"/>
    <col min="1796" max="1796" width="9.28515625" customWidth="1"/>
    <col min="1799" max="1799" width="18.7109375" customWidth="1"/>
    <col min="2050" max="2050" width="9" customWidth="1"/>
    <col min="2051" max="2051" width="24.140625" customWidth="1"/>
    <col min="2052" max="2052" width="9.28515625" customWidth="1"/>
    <col min="2055" max="2055" width="18.7109375" customWidth="1"/>
    <col min="2306" max="2306" width="9" customWidth="1"/>
    <col min="2307" max="2307" width="24.140625" customWidth="1"/>
    <col min="2308" max="2308" width="9.28515625" customWidth="1"/>
    <col min="2311" max="2311" width="18.7109375" customWidth="1"/>
    <col min="2562" max="2562" width="9" customWidth="1"/>
    <col min="2563" max="2563" width="24.140625" customWidth="1"/>
    <col min="2564" max="2564" width="9.28515625" customWidth="1"/>
    <col min="2567" max="2567" width="18.7109375" customWidth="1"/>
    <col min="2818" max="2818" width="9" customWidth="1"/>
    <col min="2819" max="2819" width="24.140625" customWidth="1"/>
    <col min="2820" max="2820" width="9.28515625" customWidth="1"/>
    <col min="2823" max="2823" width="18.7109375" customWidth="1"/>
    <col min="3074" max="3074" width="9" customWidth="1"/>
    <col min="3075" max="3075" width="24.140625" customWidth="1"/>
    <col min="3076" max="3076" width="9.28515625" customWidth="1"/>
    <col min="3079" max="3079" width="18.7109375" customWidth="1"/>
    <col min="3330" max="3330" width="9" customWidth="1"/>
    <col min="3331" max="3331" width="24.140625" customWidth="1"/>
    <col min="3332" max="3332" width="9.28515625" customWidth="1"/>
    <col min="3335" max="3335" width="18.7109375" customWidth="1"/>
    <col min="3586" max="3586" width="9" customWidth="1"/>
    <col min="3587" max="3587" width="24.140625" customWidth="1"/>
    <col min="3588" max="3588" width="9.28515625" customWidth="1"/>
    <col min="3591" max="3591" width="18.7109375" customWidth="1"/>
    <col min="3842" max="3842" width="9" customWidth="1"/>
    <col min="3843" max="3843" width="24.140625" customWidth="1"/>
    <col min="3844" max="3844" width="9.28515625" customWidth="1"/>
    <col min="3847" max="3847" width="18.7109375" customWidth="1"/>
    <col min="4098" max="4098" width="9" customWidth="1"/>
    <col min="4099" max="4099" width="24.140625" customWidth="1"/>
    <col min="4100" max="4100" width="9.28515625" customWidth="1"/>
    <col min="4103" max="4103" width="18.7109375" customWidth="1"/>
    <col min="4354" max="4354" width="9" customWidth="1"/>
    <col min="4355" max="4355" width="24.140625" customWidth="1"/>
    <col min="4356" max="4356" width="9.28515625" customWidth="1"/>
    <col min="4359" max="4359" width="18.7109375" customWidth="1"/>
    <col min="4610" max="4610" width="9" customWidth="1"/>
    <col min="4611" max="4611" width="24.140625" customWidth="1"/>
    <col min="4612" max="4612" width="9.28515625" customWidth="1"/>
    <col min="4615" max="4615" width="18.7109375" customWidth="1"/>
    <col min="4866" max="4866" width="9" customWidth="1"/>
    <col min="4867" max="4867" width="24.140625" customWidth="1"/>
    <col min="4868" max="4868" width="9.28515625" customWidth="1"/>
    <col min="4871" max="4871" width="18.7109375" customWidth="1"/>
    <col min="5122" max="5122" width="9" customWidth="1"/>
    <col min="5123" max="5123" width="24.140625" customWidth="1"/>
    <col min="5124" max="5124" width="9.28515625" customWidth="1"/>
    <col min="5127" max="5127" width="18.7109375" customWidth="1"/>
    <col min="5378" max="5378" width="9" customWidth="1"/>
    <col min="5379" max="5379" width="24.140625" customWidth="1"/>
    <col min="5380" max="5380" width="9.28515625" customWidth="1"/>
    <col min="5383" max="5383" width="18.7109375" customWidth="1"/>
    <col min="5634" max="5634" width="9" customWidth="1"/>
    <col min="5635" max="5635" width="24.140625" customWidth="1"/>
    <col min="5636" max="5636" width="9.28515625" customWidth="1"/>
    <col min="5639" max="5639" width="18.7109375" customWidth="1"/>
    <col min="5890" max="5890" width="9" customWidth="1"/>
    <col min="5891" max="5891" width="24.140625" customWidth="1"/>
    <col min="5892" max="5892" width="9.28515625" customWidth="1"/>
    <col min="5895" max="5895" width="18.7109375" customWidth="1"/>
    <col min="6146" max="6146" width="9" customWidth="1"/>
    <col min="6147" max="6147" width="24.140625" customWidth="1"/>
    <col min="6148" max="6148" width="9.28515625" customWidth="1"/>
    <col min="6151" max="6151" width="18.7109375" customWidth="1"/>
    <col min="6402" max="6402" width="9" customWidth="1"/>
    <col min="6403" max="6403" width="24.140625" customWidth="1"/>
    <col min="6404" max="6404" width="9.28515625" customWidth="1"/>
    <col min="6407" max="6407" width="18.7109375" customWidth="1"/>
    <col min="6658" max="6658" width="9" customWidth="1"/>
    <col min="6659" max="6659" width="24.140625" customWidth="1"/>
    <col min="6660" max="6660" width="9.28515625" customWidth="1"/>
    <col min="6663" max="6663" width="18.7109375" customWidth="1"/>
    <col min="6914" max="6914" width="9" customWidth="1"/>
    <col min="6915" max="6915" width="24.140625" customWidth="1"/>
    <col min="6916" max="6916" width="9.28515625" customWidth="1"/>
    <col min="6919" max="6919" width="18.7109375" customWidth="1"/>
    <col min="7170" max="7170" width="9" customWidth="1"/>
    <col min="7171" max="7171" width="24.140625" customWidth="1"/>
    <col min="7172" max="7172" width="9.28515625" customWidth="1"/>
    <col min="7175" max="7175" width="18.7109375" customWidth="1"/>
    <col min="7426" max="7426" width="9" customWidth="1"/>
    <col min="7427" max="7427" width="24.140625" customWidth="1"/>
    <col min="7428" max="7428" width="9.28515625" customWidth="1"/>
    <col min="7431" max="7431" width="18.7109375" customWidth="1"/>
    <col min="7682" max="7682" width="9" customWidth="1"/>
    <col min="7683" max="7683" width="24.140625" customWidth="1"/>
    <col min="7684" max="7684" width="9.28515625" customWidth="1"/>
    <col min="7687" max="7687" width="18.7109375" customWidth="1"/>
    <col min="7938" max="7938" width="9" customWidth="1"/>
    <col min="7939" max="7939" width="24.140625" customWidth="1"/>
    <col min="7940" max="7940" width="9.28515625" customWidth="1"/>
    <col min="7943" max="7943" width="18.7109375" customWidth="1"/>
    <col min="8194" max="8194" width="9" customWidth="1"/>
    <col min="8195" max="8195" width="24.140625" customWidth="1"/>
    <col min="8196" max="8196" width="9.28515625" customWidth="1"/>
    <col min="8199" max="8199" width="18.7109375" customWidth="1"/>
    <col min="8450" max="8450" width="9" customWidth="1"/>
    <col min="8451" max="8451" width="24.140625" customWidth="1"/>
    <col min="8452" max="8452" width="9.28515625" customWidth="1"/>
    <col min="8455" max="8455" width="18.7109375" customWidth="1"/>
    <col min="8706" max="8706" width="9" customWidth="1"/>
    <col min="8707" max="8707" width="24.140625" customWidth="1"/>
    <col min="8708" max="8708" width="9.28515625" customWidth="1"/>
    <col min="8711" max="8711" width="18.7109375" customWidth="1"/>
    <col min="8962" max="8962" width="9" customWidth="1"/>
    <col min="8963" max="8963" width="24.140625" customWidth="1"/>
    <col min="8964" max="8964" width="9.28515625" customWidth="1"/>
    <col min="8967" max="8967" width="18.7109375" customWidth="1"/>
    <col min="9218" max="9218" width="9" customWidth="1"/>
    <col min="9219" max="9219" width="24.140625" customWidth="1"/>
    <col min="9220" max="9220" width="9.28515625" customWidth="1"/>
    <col min="9223" max="9223" width="18.7109375" customWidth="1"/>
    <col min="9474" max="9474" width="9" customWidth="1"/>
    <col min="9475" max="9475" width="24.140625" customWidth="1"/>
    <col min="9476" max="9476" width="9.28515625" customWidth="1"/>
    <col min="9479" max="9479" width="18.7109375" customWidth="1"/>
    <col min="9730" max="9730" width="9" customWidth="1"/>
    <col min="9731" max="9731" width="24.140625" customWidth="1"/>
    <col min="9732" max="9732" width="9.28515625" customWidth="1"/>
    <col min="9735" max="9735" width="18.7109375" customWidth="1"/>
    <col min="9986" max="9986" width="9" customWidth="1"/>
    <col min="9987" max="9987" width="24.140625" customWidth="1"/>
    <col min="9988" max="9988" width="9.28515625" customWidth="1"/>
    <col min="9991" max="9991" width="18.7109375" customWidth="1"/>
    <col min="10242" max="10242" width="9" customWidth="1"/>
    <col min="10243" max="10243" width="24.140625" customWidth="1"/>
    <col min="10244" max="10244" width="9.28515625" customWidth="1"/>
    <col min="10247" max="10247" width="18.7109375" customWidth="1"/>
    <col min="10498" max="10498" width="9" customWidth="1"/>
    <col min="10499" max="10499" width="24.140625" customWidth="1"/>
    <col min="10500" max="10500" width="9.28515625" customWidth="1"/>
    <col min="10503" max="10503" width="18.7109375" customWidth="1"/>
    <col min="10754" max="10754" width="9" customWidth="1"/>
    <col min="10755" max="10755" width="24.140625" customWidth="1"/>
    <col min="10756" max="10756" width="9.28515625" customWidth="1"/>
    <col min="10759" max="10759" width="18.7109375" customWidth="1"/>
    <col min="11010" max="11010" width="9" customWidth="1"/>
    <col min="11011" max="11011" width="24.140625" customWidth="1"/>
    <col min="11012" max="11012" width="9.28515625" customWidth="1"/>
    <col min="11015" max="11015" width="18.7109375" customWidth="1"/>
    <col min="11266" max="11266" width="9" customWidth="1"/>
    <col min="11267" max="11267" width="24.140625" customWidth="1"/>
    <col min="11268" max="11268" width="9.28515625" customWidth="1"/>
    <col min="11271" max="11271" width="18.7109375" customWidth="1"/>
    <col min="11522" max="11522" width="9" customWidth="1"/>
    <col min="11523" max="11523" width="24.140625" customWidth="1"/>
    <col min="11524" max="11524" width="9.28515625" customWidth="1"/>
    <col min="11527" max="11527" width="18.7109375" customWidth="1"/>
    <col min="11778" max="11778" width="9" customWidth="1"/>
    <col min="11779" max="11779" width="24.140625" customWidth="1"/>
    <col min="11780" max="11780" width="9.28515625" customWidth="1"/>
    <col min="11783" max="11783" width="18.7109375" customWidth="1"/>
    <col min="12034" max="12034" width="9" customWidth="1"/>
    <col min="12035" max="12035" width="24.140625" customWidth="1"/>
    <col min="12036" max="12036" width="9.28515625" customWidth="1"/>
    <col min="12039" max="12039" width="18.7109375" customWidth="1"/>
    <col min="12290" max="12290" width="9" customWidth="1"/>
    <col min="12291" max="12291" width="24.140625" customWidth="1"/>
    <col min="12292" max="12292" width="9.28515625" customWidth="1"/>
    <col min="12295" max="12295" width="18.7109375" customWidth="1"/>
    <col min="12546" max="12546" width="9" customWidth="1"/>
    <col min="12547" max="12547" width="24.140625" customWidth="1"/>
    <col min="12548" max="12548" width="9.28515625" customWidth="1"/>
    <col min="12551" max="12551" width="18.7109375" customWidth="1"/>
    <col min="12802" max="12802" width="9" customWidth="1"/>
    <col min="12803" max="12803" width="24.140625" customWidth="1"/>
    <col min="12804" max="12804" width="9.28515625" customWidth="1"/>
    <col min="12807" max="12807" width="18.7109375" customWidth="1"/>
    <col min="13058" max="13058" width="9" customWidth="1"/>
    <col min="13059" max="13059" width="24.140625" customWidth="1"/>
    <col min="13060" max="13060" width="9.28515625" customWidth="1"/>
    <col min="13063" max="13063" width="18.7109375" customWidth="1"/>
    <col min="13314" max="13314" width="9" customWidth="1"/>
    <col min="13315" max="13315" width="24.140625" customWidth="1"/>
    <col min="13316" max="13316" width="9.28515625" customWidth="1"/>
    <col min="13319" max="13319" width="18.7109375" customWidth="1"/>
    <col min="13570" max="13570" width="9" customWidth="1"/>
    <col min="13571" max="13571" width="24.140625" customWidth="1"/>
    <col min="13572" max="13572" width="9.28515625" customWidth="1"/>
    <col min="13575" max="13575" width="18.7109375" customWidth="1"/>
    <col min="13826" max="13826" width="9" customWidth="1"/>
    <col min="13827" max="13827" width="24.140625" customWidth="1"/>
    <col min="13828" max="13828" width="9.28515625" customWidth="1"/>
    <col min="13831" max="13831" width="18.7109375" customWidth="1"/>
    <col min="14082" max="14082" width="9" customWidth="1"/>
    <col min="14083" max="14083" width="24.140625" customWidth="1"/>
    <col min="14084" max="14084" width="9.28515625" customWidth="1"/>
    <col min="14087" max="14087" width="18.7109375" customWidth="1"/>
    <col min="14338" max="14338" width="9" customWidth="1"/>
    <col min="14339" max="14339" width="24.140625" customWidth="1"/>
    <col min="14340" max="14340" width="9.28515625" customWidth="1"/>
    <col min="14343" max="14343" width="18.7109375" customWidth="1"/>
    <col min="14594" max="14594" width="9" customWidth="1"/>
    <col min="14595" max="14595" width="24.140625" customWidth="1"/>
    <col min="14596" max="14596" width="9.28515625" customWidth="1"/>
    <col min="14599" max="14599" width="18.7109375" customWidth="1"/>
    <col min="14850" max="14850" width="9" customWidth="1"/>
    <col min="14851" max="14851" width="24.140625" customWidth="1"/>
    <col min="14852" max="14852" width="9.28515625" customWidth="1"/>
    <col min="14855" max="14855" width="18.7109375" customWidth="1"/>
    <col min="15106" max="15106" width="9" customWidth="1"/>
    <col min="15107" max="15107" width="24.140625" customWidth="1"/>
    <col min="15108" max="15108" width="9.28515625" customWidth="1"/>
    <col min="15111" max="15111" width="18.7109375" customWidth="1"/>
    <col min="15362" max="15362" width="9" customWidth="1"/>
    <col min="15363" max="15363" width="24.140625" customWidth="1"/>
    <col min="15364" max="15364" width="9.28515625" customWidth="1"/>
    <col min="15367" max="15367" width="18.7109375" customWidth="1"/>
    <col min="15618" max="15618" width="9" customWidth="1"/>
    <col min="15619" max="15619" width="24.140625" customWidth="1"/>
    <col min="15620" max="15620" width="9.28515625" customWidth="1"/>
    <col min="15623" max="15623" width="18.7109375" customWidth="1"/>
    <col min="15874" max="15874" width="9" customWidth="1"/>
    <col min="15875" max="15875" width="24.140625" customWidth="1"/>
    <col min="15876" max="15876" width="9.28515625" customWidth="1"/>
    <col min="15879" max="15879" width="18.7109375" customWidth="1"/>
    <col min="16130" max="16130" width="9" customWidth="1"/>
    <col min="16131" max="16131" width="24.140625" customWidth="1"/>
    <col min="16132" max="16132" width="9.28515625" customWidth="1"/>
    <col min="16135" max="16135" width="18.7109375" customWidth="1"/>
  </cols>
  <sheetData>
    <row r="1" spans="1:7" ht="18" x14ac:dyDescent="0.25">
      <c r="A1" s="19" t="s">
        <v>64</v>
      </c>
    </row>
    <row r="3" spans="1:7" x14ac:dyDescent="0.2">
      <c r="F3" s="16" t="s">
        <v>65</v>
      </c>
      <c r="G3" s="16"/>
    </row>
    <row r="4" spans="1:7" x14ac:dyDescent="0.2">
      <c r="F4" s="20" t="s">
        <v>66</v>
      </c>
      <c r="G4" s="21" t="s">
        <v>67</v>
      </c>
    </row>
    <row r="5" spans="1:7" x14ac:dyDescent="0.2">
      <c r="F5" s="22">
        <v>20</v>
      </c>
      <c r="G5" s="2" t="s">
        <v>68</v>
      </c>
    </row>
    <row r="6" spans="1:7" x14ac:dyDescent="0.2">
      <c r="A6" t="s">
        <v>69</v>
      </c>
      <c r="F6" s="22">
        <v>23</v>
      </c>
      <c r="G6" s="2" t="s">
        <v>70</v>
      </c>
    </row>
    <row r="7" spans="1:7" x14ac:dyDescent="0.2">
      <c r="F7" s="22">
        <v>26</v>
      </c>
      <c r="G7" s="2" t="s">
        <v>71</v>
      </c>
    </row>
    <row r="8" spans="1:7" x14ac:dyDescent="0.2">
      <c r="A8" t="s">
        <v>72</v>
      </c>
      <c r="B8">
        <v>56</v>
      </c>
      <c r="F8" s="22">
        <v>30</v>
      </c>
      <c r="G8" s="2" t="s">
        <v>73</v>
      </c>
    </row>
    <row r="9" spans="1:7" x14ac:dyDescent="0.2">
      <c r="A9" t="s">
        <v>74</v>
      </c>
      <c r="B9">
        <v>1.59</v>
      </c>
      <c r="F9" s="22">
        <v>35</v>
      </c>
      <c r="G9" s="2" t="s">
        <v>75</v>
      </c>
    </row>
    <row r="10" spans="1:7" x14ac:dyDescent="0.2">
      <c r="A10" t="s">
        <v>76</v>
      </c>
      <c r="B10" s="23"/>
      <c r="F10" s="22">
        <v>40</v>
      </c>
      <c r="G10" s="2" t="s">
        <v>77</v>
      </c>
    </row>
    <row r="11" spans="1:7" x14ac:dyDescent="0.2">
      <c r="F11" s="22" t="s">
        <v>78</v>
      </c>
      <c r="G11" s="2" t="s">
        <v>79</v>
      </c>
    </row>
    <row r="14" spans="1:7" x14ac:dyDescent="0.2">
      <c r="C14" t="s">
        <v>80</v>
      </c>
    </row>
    <row r="15" spans="1:7" ht="20.25" x14ac:dyDescent="0.3">
      <c r="C15" s="24"/>
    </row>
  </sheetData>
  <mergeCells count="1">
    <mergeCell ref="F3:G3"/>
  </mergeCells>
  <pageMargins left="0.78740157499999996" right="0.78740157499999996" top="0.984251969" bottom="0.984251969" header="0.4921259845" footer="0.4921259845"/>
  <pageSetup paperSize="9" orientation="portrait" horizontalDpi="120" verticalDpi="144" copies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43AD-9789-43F3-9D3B-844FF16CCE15}">
  <dimension ref="A1:C6"/>
  <sheetViews>
    <sheetView workbookViewId="0">
      <selection activeCell="A4" sqref="A4"/>
    </sheetView>
  </sheetViews>
  <sheetFormatPr defaultRowHeight="12.75" x14ac:dyDescent="0.2"/>
  <cols>
    <col min="1" max="1" width="13.85546875" bestFit="1" customWidth="1"/>
  </cols>
  <sheetData>
    <row r="1" spans="1:3" ht="15.75" x14ac:dyDescent="0.25">
      <c r="A1" s="1" t="s">
        <v>82</v>
      </c>
    </row>
    <row r="4" spans="1:3" x14ac:dyDescent="0.2">
      <c r="A4" s="25">
        <v>36743</v>
      </c>
    </row>
    <row r="5" spans="1:3" x14ac:dyDescent="0.2">
      <c r="A5" s="25">
        <v>36771</v>
      </c>
      <c r="C5" s="26" t="s">
        <v>83</v>
      </c>
    </row>
    <row r="6" spans="1:3" x14ac:dyDescent="0.2">
      <c r="C6" s="2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A40F-7C83-4802-8E44-19AF7DCF5E57}">
  <dimension ref="A1:F11"/>
  <sheetViews>
    <sheetView workbookViewId="0">
      <selection activeCell="A4" sqref="A4"/>
    </sheetView>
  </sheetViews>
  <sheetFormatPr defaultRowHeight="12.75" x14ac:dyDescent="0.2"/>
  <cols>
    <col min="2" max="2" width="11.28515625" bestFit="1" customWidth="1"/>
    <col min="3" max="3" width="10.28515625" customWidth="1"/>
    <col min="4" max="4" width="12.7109375" customWidth="1"/>
    <col min="5" max="6" width="10.28515625" customWidth="1"/>
    <col min="258" max="258" width="11.28515625" bestFit="1" customWidth="1"/>
    <col min="259" max="259" width="10.28515625" customWidth="1"/>
    <col min="260" max="260" width="11.28515625" customWidth="1"/>
    <col min="261" max="262" width="10.28515625" customWidth="1"/>
    <col min="514" max="514" width="11.28515625" bestFit="1" customWidth="1"/>
    <col min="515" max="515" width="10.28515625" customWidth="1"/>
    <col min="516" max="516" width="11.28515625" customWidth="1"/>
    <col min="517" max="518" width="10.28515625" customWidth="1"/>
    <col min="770" max="770" width="11.28515625" bestFit="1" customWidth="1"/>
    <col min="771" max="771" width="10.28515625" customWidth="1"/>
    <col min="772" max="772" width="11.28515625" customWidth="1"/>
    <col min="773" max="774" width="10.28515625" customWidth="1"/>
    <col min="1026" max="1026" width="11.28515625" bestFit="1" customWidth="1"/>
    <col min="1027" max="1027" width="10.28515625" customWidth="1"/>
    <col min="1028" max="1028" width="11.28515625" customWidth="1"/>
    <col min="1029" max="1030" width="10.28515625" customWidth="1"/>
    <col min="1282" max="1282" width="11.28515625" bestFit="1" customWidth="1"/>
    <col min="1283" max="1283" width="10.28515625" customWidth="1"/>
    <col min="1284" max="1284" width="11.28515625" customWidth="1"/>
    <col min="1285" max="1286" width="10.28515625" customWidth="1"/>
    <col min="1538" max="1538" width="11.28515625" bestFit="1" customWidth="1"/>
    <col min="1539" max="1539" width="10.28515625" customWidth="1"/>
    <col min="1540" max="1540" width="11.28515625" customWidth="1"/>
    <col min="1541" max="1542" width="10.28515625" customWidth="1"/>
    <col min="1794" max="1794" width="11.28515625" bestFit="1" customWidth="1"/>
    <col min="1795" max="1795" width="10.28515625" customWidth="1"/>
    <col min="1796" max="1796" width="11.28515625" customWidth="1"/>
    <col min="1797" max="1798" width="10.28515625" customWidth="1"/>
    <col min="2050" max="2050" width="11.28515625" bestFit="1" customWidth="1"/>
    <col min="2051" max="2051" width="10.28515625" customWidth="1"/>
    <col min="2052" max="2052" width="11.28515625" customWidth="1"/>
    <col min="2053" max="2054" width="10.28515625" customWidth="1"/>
    <col min="2306" max="2306" width="11.28515625" bestFit="1" customWidth="1"/>
    <col min="2307" max="2307" width="10.28515625" customWidth="1"/>
    <col min="2308" max="2308" width="11.28515625" customWidth="1"/>
    <col min="2309" max="2310" width="10.28515625" customWidth="1"/>
    <col min="2562" max="2562" width="11.28515625" bestFit="1" customWidth="1"/>
    <col min="2563" max="2563" width="10.28515625" customWidth="1"/>
    <col min="2564" max="2564" width="11.28515625" customWidth="1"/>
    <col min="2565" max="2566" width="10.28515625" customWidth="1"/>
    <col min="2818" max="2818" width="11.28515625" bestFit="1" customWidth="1"/>
    <col min="2819" max="2819" width="10.28515625" customWidth="1"/>
    <col min="2820" max="2820" width="11.28515625" customWidth="1"/>
    <col min="2821" max="2822" width="10.28515625" customWidth="1"/>
    <col min="3074" max="3074" width="11.28515625" bestFit="1" customWidth="1"/>
    <col min="3075" max="3075" width="10.28515625" customWidth="1"/>
    <col min="3076" max="3076" width="11.28515625" customWidth="1"/>
    <col min="3077" max="3078" width="10.28515625" customWidth="1"/>
    <col min="3330" max="3330" width="11.28515625" bestFit="1" customWidth="1"/>
    <col min="3331" max="3331" width="10.28515625" customWidth="1"/>
    <col min="3332" max="3332" width="11.28515625" customWidth="1"/>
    <col min="3333" max="3334" width="10.28515625" customWidth="1"/>
    <col min="3586" max="3586" width="11.28515625" bestFit="1" customWidth="1"/>
    <col min="3587" max="3587" width="10.28515625" customWidth="1"/>
    <col min="3588" max="3588" width="11.28515625" customWidth="1"/>
    <col min="3589" max="3590" width="10.28515625" customWidth="1"/>
    <col min="3842" max="3842" width="11.28515625" bestFit="1" customWidth="1"/>
    <col min="3843" max="3843" width="10.28515625" customWidth="1"/>
    <col min="3844" max="3844" width="11.28515625" customWidth="1"/>
    <col min="3845" max="3846" width="10.28515625" customWidth="1"/>
    <col min="4098" max="4098" width="11.28515625" bestFit="1" customWidth="1"/>
    <col min="4099" max="4099" width="10.28515625" customWidth="1"/>
    <col min="4100" max="4100" width="11.28515625" customWidth="1"/>
    <col min="4101" max="4102" width="10.28515625" customWidth="1"/>
    <col min="4354" max="4354" width="11.28515625" bestFit="1" customWidth="1"/>
    <col min="4355" max="4355" width="10.28515625" customWidth="1"/>
    <col min="4356" max="4356" width="11.28515625" customWidth="1"/>
    <col min="4357" max="4358" width="10.28515625" customWidth="1"/>
    <col min="4610" max="4610" width="11.28515625" bestFit="1" customWidth="1"/>
    <col min="4611" max="4611" width="10.28515625" customWidth="1"/>
    <col min="4612" max="4612" width="11.28515625" customWidth="1"/>
    <col min="4613" max="4614" width="10.28515625" customWidth="1"/>
    <col min="4866" max="4866" width="11.28515625" bestFit="1" customWidth="1"/>
    <col min="4867" max="4867" width="10.28515625" customWidth="1"/>
    <col min="4868" max="4868" width="11.28515625" customWidth="1"/>
    <col min="4869" max="4870" width="10.28515625" customWidth="1"/>
    <col min="5122" max="5122" width="11.28515625" bestFit="1" customWidth="1"/>
    <col min="5123" max="5123" width="10.28515625" customWidth="1"/>
    <col min="5124" max="5124" width="11.28515625" customWidth="1"/>
    <col min="5125" max="5126" width="10.28515625" customWidth="1"/>
    <col min="5378" max="5378" width="11.28515625" bestFit="1" customWidth="1"/>
    <col min="5379" max="5379" width="10.28515625" customWidth="1"/>
    <col min="5380" max="5380" width="11.28515625" customWidth="1"/>
    <col min="5381" max="5382" width="10.28515625" customWidth="1"/>
    <col min="5634" max="5634" width="11.28515625" bestFit="1" customWidth="1"/>
    <col min="5635" max="5635" width="10.28515625" customWidth="1"/>
    <col min="5636" max="5636" width="11.28515625" customWidth="1"/>
    <col min="5637" max="5638" width="10.28515625" customWidth="1"/>
    <col min="5890" max="5890" width="11.28515625" bestFit="1" customWidth="1"/>
    <col min="5891" max="5891" width="10.28515625" customWidth="1"/>
    <col min="5892" max="5892" width="11.28515625" customWidth="1"/>
    <col min="5893" max="5894" width="10.28515625" customWidth="1"/>
    <col min="6146" max="6146" width="11.28515625" bestFit="1" customWidth="1"/>
    <col min="6147" max="6147" width="10.28515625" customWidth="1"/>
    <col min="6148" max="6148" width="11.28515625" customWidth="1"/>
    <col min="6149" max="6150" width="10.28515625" customWidth="1"/>
    <col min="6402" max="6402" width="11.28515625" bestFit="1" customWidth="1"/>
    <col min="6403" max="6403" width="10.28515625" customWidth="1"/>
    <col min="6404" max="6404" width="11.28515625" customWidth="1"/>
    <col min="6405" max="6406" width="10.28515625" customWidth="1"/>
    <col min="6658" max="6658" width="11.28515625" bestFit="1" customWidth="1"/>
    <col min="6659" max="6659" width="10.28515625" customWidth="1"/>
    <col min="6660" max="6660" width="11.28515625" customWidth="1"/>
    <col min="6661" max="6662" width="10.28515625" customWidth="1"/>
    <col min="6914" max="6914" width="11.28515625" bestFit="1" customWidth="1"/>
    <col min="6915" max="6915" width="10.28515625" customWidth="1"/>
    <col min="6916" max="6916" width="11.28515625" customWidth="1"/>
    <col min="6917" max="6918" width="10.28515625" customWidth="1"/>
    <col min="7170" max="7170" width="11.28515625" bestFit="1" customWidth="1"/>
    <col min="7171" max="7171" width="10.28515625" customWidth="1"/>
    <col min="7172" max="7172" width="11.28515625" customWidth="1"/>
    <col min="7173" max="7174" width="10.28515625" customWidth="1"/>
    <col min="7426" max="7426" width="11.28515625" bestFit="1" customWidth="1"/>
    <col min="7427" max="7427" width="10.28515625" customWidth="1"/>
    <col min="7428" max="7428" width="11.28515625" customWidth="1"/>
    <col min="7429" max="7430" width="10.28515625" customWidth="1"/>
    <col min="7682" max="7682" width="11.28515625" bestFit="1" customWidth="1"/>
    <col min="7683" max="7683" width="10.28515625" customWidth="1"/>
    <col min="7684" max="7684" width="11.28515625" customWidth="1"/>
    <col min="7685" max="7686" width="10.28515625" customWidth="1"/>
    <col min="7938" max="7938" width="11.28515625" bestFit="1" customWidth="1"/>
    <col min="7939" max="7939" width="10.28515625" customWidth="1"/>
    <col min="7940" max="7940" width="11.28515625" customWidth="1"/>
    <col min="7941" max="7942" width="10.28515625" customWidth="1"/>
    <col min="8194" max="8194" width="11.28515625" bestFit="1" customWidth="1"/>
    <col min="8195" max="8195" width="10.28515625" customWidth="1"/>
    <col min="8196" max="8196" width="11.28515625" customWidth="1"/>
    <col min="8197" max="8198" width="10.28515625" customWidth="1"/>
    <col min="8450" max="8450" width="11.28515625" bestFit="1" customWidth="1"/>
    <col min="8451" max="8451" width="10.28515625" customWidth="1"/>
    <col min="8452" max="8452" width="11.28515625" customWidth="1"/>
    <col min="8453" max="8454" width="10.28515625" customWidth="1"/>
    <col min="8706" max="8706" width="11.28515625" bestFit="1" customWidth="1"/>
    <col min="8707" max="8707" width="10.28515625" customWidth="1"/>
    <col min="8708" max="8708" width="11.28515625" customWidth="1"/>
    <col min="8709" max="8710" width="10.28515625" customWidth="1"/>
    <col min="8962" max="8962" width="11.28515625" bestFit="1" customWidth="1"/>
    <col min="8963" max="8963" width="10.28515625" customWidth="1"/>
    <col min="8964" max="8964" width="11.28515625" customWidth="1"/>
    <col min="8965" max="8966" width="10.28515625" customWidth="1"/>
    <col min="9218" max="9218" width="11.28515625" bestFit="1" customWidth="1"/>
    <col min="9219" max="9219" width="10.28515625" customWidth="1"/>
    <col min="9220" max="9220" width="11.28515625" customWidth="1"/>
    <col min="9221" max="9222" width="10.28515625" customWidth="1"/>
    <col min="9474" max="9474" width="11.28515625" bestFit="1" customWidth="1"/>
    <col min="9475" max="9475" width="10.28515625" customWidth="1"/>
    <col min="9476" max="9476" width="11.28515625" customWidth="1"/>
    <col min="9477" max="9478" width="10.28515625" customWidth="1"/>
    <col min="9730" max="9730" width="11.28515625" bestFit="1" customWidth="1"/>
    <col min="9731" max="9731" width="10.28515625" customWidth="1"/>
    <col min="9732" max="9732" width="11.28515625" customWidth="1"/>
    <col min="9733" max="9734" width="10.28515625" customWidth="1"/>
    <col min="9986" max="9986" width="11.28515625" bestFit="1" customWidth="1"/>
    <col min="9987" max="9987" width="10.28515625" customWidth="1"/>
    <col min="9988" max="9988" width="11.28515625" customWidth="1"/>
    <col min="9989" max="9990" width="10.28515625" customWidth="1"/>
    <col min="10242" max="10242" width="11.28515625" bestFit="1" customWidth="1"/>
    <col min="10243" max="10243" width="10.28515625" customWidth="1"/>
    <col min="10244" max="10244" width="11.28515625" customWidth="1"/>
    <col min="10245" max="10246" width="10.28515625" customWidth="1"/>
    <col min="10498" max="10498" width="11.28515625" bestFit="1" customWidth="1"/>
    <col min="10499" max="10499" width="10.28515625" customWidth="1"/>
    <col min="10500" max="10500" width="11.28515625" customWidth="1"/>
    <col min="10501" max="10502" width="10.28515625" customWidth="1"/>
    <col min="10754" max="10754" width="11.28515625" bestFit="1" customWidth="1"/>
    <col min="10755" max="10755" width="10.28515625" customWidth="1"/>
    <col min="10756" max="10756" width="11.28515625" customWidth="1"/>
    <col min="10757" max="10758" width="10.28515625" customWidth="1"/>
    <col min="11010" max="11010" width="11.28515625" bestFit="1" customWidth="1"/>
    <col min="11011" max="11011" width="10.28515625" customWidth="1"/>
    <col min="11012" max="11012" width="11.28515625" customWidth="1"/>
    <col min="11013" max="11014" width="10.28515625" customWidth="1"/>
    <col min="11266" max="11266" width="11.28515625" bestFit="1" customWidth="1"/>
    <col min="11267" max="11267" width="10.28515625" customWidth="1"/>
    <col min="11268" max="11268" width="11.28515625" customWidth="1"/>
    <col min="11269" max="11270" width="10.28515625" customWidth="1"/>
    <col min="11522" max="11522" width="11.28515625" bestFit="1" customWidth="1"/>
    <col min="11523" max="11523" width="10.28515625" customWidth="1"/>
    <col min="11524" max="11524" width="11.28515625" customWidth="1"/>
    <col min="11525" max="11526" width="10.28515625" customWidth="1"/>
    <col min="11778" max="11778" width="11.28515625" bestFit="1" customWidth="1"/>
    <col min="11779" max="11779" width="10.28515625" customWidth="1"/>
    <col min="11780" max="11780" width="11.28515625" customWidth="1"/>
    <col min="11781" max="11782" width="10.28515625" customWidth="1"/>
    <col min="12034" max="12034" width="11.28515625" bestFit="1" customWidth="1"/>
    <col min="12035" max="12035" width="10.28515625" customWidth="1"/>
    <col min="12036" max="12036" width="11.28515625" customWidth="1"/>
    <col min="12037" max="12038" width="10.28515625" customWidth="1"/>
    <col min="12290" max="12290" width="11.28515625" bestFit="1" customWidth="1"/>
    <col min="12291" max="12291" width="10.28515625" customWidth="1"/>
    <col min="12292" max="12292" width="11.28515625" customWidth="1"/>
    <col min="12293" max="12294" width="10.28515625" customWidth="1"/>
    <col min="12546" max="12546" width="11.28515625" bestFit="1" customWidth="1"/>
    <col min="12547" max="12547" width="10.28515625" customWidth="1"/>
    <col min="12548" max="12548" width="11.28515625" customWidth="1"/>
    <col min="12549" max="12550" width="10.28515625" customWidth="1"/>
    <col min="12802" max="12802" width="11.28515625" bestFit="1" customWidth="1"/>
    <col min="12803" max="12803" width="10.28515625" customWidth="1"/>
    <col min="12804" max="12804" width="11.28515625" customWidth="1"/>
    <col min="12805" max="12806" width="10.28515625" customWidth="1"/>
    <col min="13058" max="13058" width="11.28515625" bestFit="1" customWidth="1"/>
    <col min="13059" max="13059" width="10.28515625" customWidth="1"/>
    <col min="13060" max="13060" width="11.28515625" customWidth="1"/>
    <col min="13061" max="13062" width="10.28515625" customWidth="1"/>
    <col min="13314" max="13314" width="11.28515625" bestFit="1" customWidth="1"/>
    <col min="13315" max="13315" width="10.28515625" customWidth="1"/>
    <col min="13316" max="13316" width="11.28515625" customWidth="1"/>
    <col min="13317" max="13318" width="10.28515625" customWidth="1"/>
    <col min="13570" max="13570" width="11.28515625" bestFit="1" customWidth="1"/>
    <col min="13571" max="13571" width="10.28515625" customWidth="1"/>
    <col min="13572" max="13572" width="11.28515625" customWidth="1"/>
    <col min="13573" max="13574" width="10.28515625" customWidth="1"/>
    <col min="13826" max="13826" width="11.28515625" bestFit="1" customWidth="1"/>
    <col min="13827" max="13827" width="10.28515625" customWidth="1"/>
    <col min="13828" max="13828" width="11.28515625" customWidth="1"/>
    <col min="13829" max="13830" width="10.28515625" customWidth="1"/>
    <col min="14082" max="14082" width="11.28515625" bestFit="1" customWidth="1"/>
    <col min="14083" max="14083" width="10.28515625" customWidth="1"/>
    <col min="14084" max="14084" width="11.28515625" customWidth="1"/>
    <col min="14085" max="14086" width="10.28515625" customWidth="1"/>
    <col min="14338" max="14338" width="11.28515625" bestFit="1" customWidth="1"/>
    <col min="14339" max="14339" width="10.28515625" customWidth="1"/>
    <col min="14340" max="14340" width="11.28515625" customWidth="1"/>
    <col min="14341" max="14342" width="10.28515625" customWidth="1"/>
    <col min="14594" max="14594" width="11.28515625" bestFit="1" customWidth="1"/>
    <col min="14595" max="14595" width="10.28515625" customWidth="1"/>
    <col min="14596" max="14596" width="11.28515625" customWidth="1"/>
    <col min="14597" max="14598" width="10.28515625" customWidth="1"/>
    <col min="14850" max="14850" width="11.28515625" bestFit="1" customWidth="1"/>
    <col min="14851" max="14851" width="10.28515625" customWidth="1"/>
    <col min="14852" max="14852" width="11.28515625" customWidth="1"/>
    <col min="14853" max="14854" width="10.28515625" customWidth="1"/>
    <col min="15106" max="15106" width="11.28515625" bestFit="1" customWidth="1"/>
    <col min="15107" max="15107" width="10.28515625" customWidth="1"/>
    <col min="15108" max="15108" width="11.28515625" customWidth="1"/>
    <col min="15109" max="15110" width="10.28515625" customWidth="1"/>
    <col min="15362" max="15362" width="11.28515625" bestFit="1" customWidth="1"/>
    <col min="15363" max="15363" width="10.28515625" customWidth="1"/>
    <col min="15364" max="15364" width="11.28515625" customWidth="1"/>
    <col min="15365" max="15366" width="10.28515625" customWidth="1"/>
    <col min="15618" max="15618" width="11.28515625" bestFit="1" customWidth="1"/>
    <col min="15619" max="15619" width="10.28515625" customWidth="1"/>
    <col min="15620" max="15620" width="11.28515625" customWidth="1"/>
    <col min="15621" max="15622" width="10.28515625" customWidth="1"/>
    <col min="15874" max="15874" width="11.28515625" bestFit="1" customWidth="1"/>
    <col min="15875" max="15875" width="10.28515625" customWidth="1"/>
    <col min="15876" max="15876" width="11.28515625" customWidth="1"/>
    <col min="15877" max="15878" width="10.28515625" customWidth="1"/>
    <col min="16130" max="16130" width="11.28515625" bestFit="1" customWidth="1"/>
    <col min="16131" max="16131" width="10.28515625" customWidth="1"/>
    <col min="16132" max="16132" width="11.28515625" customWidth="1"/>
    <col min="16133" max="16134" width="10.28515625" customWidth="1"/>
  </cols>
  <sheetData>
    <row r="1" spans="1:6" ht="15.75" x14ac:dyDescent="0.25">
      <c r="A1" s="1" t="s">
        <v>84</v>
      </c>
    </row>
    <row r="3" spans="1:6" ht="38.25" x14ac:dyDescent="0.2">
      <c r="A3" s="27" t="s">
        <v>85</v>
      </c>
      <c r="B3" s="28">
        <v>8.5</v>
      </c>
    </row>
    <row r="6" spans="1:6" x14ac:dyDescent="0.2">
      <c r="A6" s="18" t="s">
        <v>86</v>
      </c>
      <c r="B6" s="18" t="s">
        <v>87</v>
      </c>
      <c r="C6" s="18" t="s">
        <v>88</v>
      </c>
      <c r="D6" s="18" t="s">
        <v>89</v>
      </c>
      <c r="E6" s="18" t="s">
        <v>90</v>
      </c>
      <c r="F6" s="18" t="s">
        <v>91</v>
      </c>
    </row>
    <row r="7" spans="1:6" x14ac:dyDescent="0.2">
      <c r="A7" s="21" t="s">
        <v>92</v>
      </c>
      <c r="B7" s="2">
        <v>100</v>
      </c>
      <c r="C7" s="2">
        <v>200</v>
      </c>
      <c r="D7" s="2"/>
      <c r="E7" s="6"/>
      <c r="F7" s="6"/>
    </row>
    <row r="8" spans="1:6" x14ac:dyDescent="0.2">
      <c r="A8" s="21" t="s">
        <v>93</v>
      </c>
      <c r="B8" s="2">
        <v>150</v>
      </c>
      <c r="C8" s="2">
        <v>800</v>
      </c>
      <c r="D8" s="2"/>
      <c r="E8" s="6"/>
      <c r="F8" s="6"/>
    </row>
    <row r="9" spans="1:6" x14ac:dyDescent="0.2">
      <c r="A9" s="21" t="s">
        <v>94</v>
      </c>
      <c r="B9" s="2">
        <v>400</v>
      </c>
      <c r="C9" s="2">
        <v>1000</v>
      </c>
      <c r="D9" s="2"/>
      <c r="E9" s="6"/>
      <c r="F9" s="6"/>
    </row>
    <row r="10" spans="1:6" x14ac:dyDescent="0.2">
      <c r="A10" s="21" t="s">
        <v>95</v>
      </c>
      <c r="B10" s="2">
        <v>80</v>
      </c>
      <c r="C10" s="2">
        <v>1500</v>
      </c>
      <c r="D10" s="2"/>
      <c r="E10" s="6"/>
      <c r="F10" s="6"/>
    </row>
    <row r="11" spans="1:6" x14ac:dyDescent="0.2">
      <c r="F11" s="29"/>
    </row>
  </sheetData>
  <pageMargins left="0.78740157499999996" right="0.78740157499999996" top="0.984251969" bottom="0.984251969" header="0.4921259845" footer="0.4921259845"/>
  <pageSetup paperSize="9" orientation="portrait" horizontalDpi="120" verticalDpi="144" copies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88FD-66EA-4D9E-B119-35E9E9C2997A}">
  <dimension ref="A1:J21"/>
  <sheetViews>
    <sheetView tabSelected="1" workbookViewId="0">
      <selection activeCell="A13" sqref="A13"/>
    </sheetView>
  </sheetViews>
  <sheetFormatPr defaultRowHeight="15" x14ac:dyDescent="0.25"/>
  <cols>
    <col min="1" max="1" width="4.42578125" style="31" customWidth="1"/>
    <col min="2" max="2" width="2.85546875" style="31" customWidth="1"/>
    <col min="3" max="3" width="9.7109375" style="31" customWidth="1"/>
    <col min="4" max="4" width="11.42578125" style="31" customWidth="1"/>
    <col min="5" max="5" width="13.5703125" style="31" customWidth="1"/>
    <col min="6" max="256" width="9.140625" style="31"/>
    <col min="257" max="257" width="4.42578125" style="31" customWidth="1"/>
    <col min="258" max="258" width="2.85546875" style="31" customWidth="1"/>
    <col min="259" max="259" width="9.7109375" style="31" customWidth="1"/>
    <col min="260" max="260" width="11.42578125" style="31" customWidth="1"/>
    <col min="261" max="261" width="13.5703125" style="31" customWidth="1"/>
    <col min="262" max="512" width="9.140625" style="31"/>
    <col min="513" max="513" width="4.42578125" style="31" customWidth="1"/>
    <col min="514" max="514" width="2.85546875" style="31" customWidth="1"/>
    <col min="515" max="515" width="9.7109375" style="31" customWidth="1"/>
    <col min="516" max="516" width="11.42578125" style="31" customWidth="1"/>
    <col min="517" max="517" width="13.5703125" style="31" customWidth="1"/>
    <col min="518" max="768" width="9.140625" style="31"/>
    <col min="769" max="769" width="4.42578125" style="31" customWidth="1"/>
    <col min="770" max="770" width="2.85546875" style="31" customWidth="1"/>
    <col min="771" max="771" width="9.7109375" style="31" customWidth="1"/>
    <col min="772" max="772" width="11.42578125" style="31" customWidth="1"/>
    <col min="773" max="773" width="13.5703125" style="31" customWidth="1"/>
    <col min="774" max="1024" width="9.140625" style="31"/>
    <col min="1025" max="1025" width="4.42578125" style="31" customWidth="1"/>
    <col min="1026" max="1026" width="2.85546875" style="31" customWidth="1"/>
    <col min="1027" max="1027" width="9.7109375" style="31" customWidth="1"/>
    <col min="1028" max="1028" width="11.42578125" style="31" customWidth="1"/>
    <col min="1029" max="1029" width="13.5703125" style="31" customWidth="1"/>
    <col min="1030" max="1280" width="9.140625" style="31"/>
    <col min="1281" max="1281" width="4.42578125" style="31" customWidth="1"/>
    <col min="1282" max="1282" width="2.85546875" style="31" customWidth="1"/>
    <col min="1283" max="1283" width="9.7109375" style="31" customWidth="1"/>
    <col min="1284" max="1284" width="11.42578125" style="31" customWidth="1"/>
    <col min="1285" max="1285" width="13.5703125" style="31" customWidth="1"/>
    <col min="1286" max="1536" width="9.140625" style="31"/>
    <col min="1537" max="1537" width="4.42578125" style="31" customWidth="1"/>
    <col min="1538" max="1538" width="2.85546875" style="31" customWidth="1"/>
    <col min="1539" max="1539" width="9.7109375" style="31" customWidth="1"/>
    <col min="1540" max="1540" width="11.42578125" style="31" customWidth="1"/>
    <col min="1541" max="1541" width="13.5703125" style="31" customWidth="1"/>
    <col min="1542" max="1792" width="9.140625" style="31"/>
    <col min="1793" max="1793" width="4.42578125" style="31" customWidth="1"/>
    <col min="1794" max="1794" width="2.85546875" style="31" customWidth="1"/>
    <col min="1795" max="1795" width="9.7109375" style="31" customWidth="1"/>
    <col min="1796" max="1796" width="11.42578125" style="31" customWidth="1"/>
    <col min="1797" max="1797" width="13.5703125" style="31" customWidth="1"/>
    <col min="1798" max="2048" width="9.140625" style="31"/>
    <col min="2049" max="2049" width="4.42578125" style="31" customWidth="1"/>
    <col min="2050" max="2050" width="2.85546875" style="31" customWidth="1"/>
    <col min="2051" max="2051" width="9.7109375" style="31" customWidth="1"/>
    <col min="2052" max="2052" width="11.42578125" style="31" customWidth="1"/>
    <col min="2053" max="2053" width="13.5703125" style="31" customWidth="1"/>
    <col min="2054" max="2304" width="9.140625" style="31"/>
    <col min="2305" max="2305" width="4.42578125" style="31" customWidth="1"/>
    <col min="2306" max="2306" width="2.85546875" style="31" customWidth="1"/>
    <col min="2307" max="2307" width="9.7109375" style="31" customWidth="1"/>
    <col min="2308" max="2308" width="11.42578125" style="31" customWidth="1"/>
    <col min="2309" max="2309" width="13.5703125" style="31" customWidth="1"/>
    <col min="2310" max="2560" width="9.140625" style="31"/>
    <col min="2561" max="2561" width="4.42578125" style="31" customWidth="1"/>
    <col min="2562" max="2562" width="2.85546875" style="31" customWidth="1"/>
    <col min="2563" max="2563" width="9.7109375" style="31" customWidth="1"/>
    <col min="2564" max="2564" width="11.42578125" style="31" customWidth="1"/>
    <col min="2565" max="2565" width="13.5703125" style="31" customWidth="1"/>
    <col min="2566" max="2816" width="9.140625" style="31"/>
    <col min="2817" max="2817" width="4.42578125" style="31" customWidth="1"/>
    <col min="2818" max="2818" width="2.85546875" style="31" customWidth="1"/>
    <col min="2819" max="2819" width="9.7109375" style="31" customWidth="1"/>
    <col min="2820" max="2820" width="11.42578125" style="31" customWidth="1"/>
    <col min="2821" max="2821" width="13.5703125" style="31" customWidth="1"/>
    <col min="2822" max="3072" width="9.140625" style="31"/>
    <col min="3073" max="3073" width="4.42578125" style="31" customWidth="1"/>
    <col min="3074" max="3074" width="2.85546875" style="31" customWidth="1"/>
    <col min="3075" max="3075" width="9.7109375" style="31" customWidth="1"/>
    <col min="3076" max="3076" width="11.42578125" style="31" customWidth="1"/>
    <col min="3077" max="3077" width="13.5703125" style="31" customWidth="1"/>
    <col min="3078" max="3328" width="9.140625" style="31"/>
    <col min="3329" max="3329" width="4.42578125" style="31" customWidth="1"/>
    <col min="3330" max="3330" width="2.85546875" style="31" customWidth="1"/>
    <col min="3331" max="3331" width="9.7109375" style="31" customWidth="1"/>
    <col min="3332" max="3332" width="11.42578125" style="31" customWidth="1"/>
    <col min="3333" max="3333" width="13.5703125" style="31" customWidth="1"/>
    <col min="3334" max="3584" width="9.140625" style="31"/>
    <col min="3585" max="3585" width="4.42578125" style="31" customWidth="1"/>
    <col min="3586" max="3586" width="2.85546875" style="31" customWidth="1"/>
    <col min="3587" max="3587" width="9.7109375" style="31" customWidth="1"/>
    <col min="3588" max="3588" width="11.42578125" style="31" customWidth="1"/>
    <col min="3589" max="3589" width="13.5703125" style="31" customWidth="1"/>
    <col min="3590" max="3840" width="9.140625" style="31"/>
    <col min="3841" max="3841" width="4.42578125" style="31" customWidth="1"/>
    <col min="3842" max="3842" width="2.85546875" style="31" customWidth="1"/>
    <col min="3843" max="3843" width="9.7109375" style="31" customWidth="1"/>
    <col min="3844" max="3844" width="11.42578125" style="31" customWidth="1"/>
    <col min="3845" max="3845" width="13.5703125" style="31" customWidth="1"/>
    <col min="3846" max="4096" width="9.140625" style="31"/>
    <col min="4097" max="4097" width="4.42578125" style="31" customWidth="1"/>
    <col min="4098" max="4098" width="2.85546875" style="31" customWidth="1"/>
    <col min="4099" max="4099" width="9.7109375" style="31" customWidth="1"/>
    <col min="4100" max="4100" width="11.42578125" style="31" customWidth="1"/>
    <col min="4101" max="4101" width="13.5703125" style="31" customWidth="1"/>
    <col min="4102" max="4352" width="9.140625" style="31"/>
    <col min="4353" max="4353" width="4.42578125" style="31" customWidth="1"/>
    <col min="4354" max="4354" width="2.85546875" style="31" customWidth="1"/>
    <col min="4355" max="4355" width="9.7109375" style="31" customWidth="1"/>
    <col min="4356" max="4356" width="11.42578125" style="31" customWidth="1"/>
    <col min="4357" max="4357" width="13.5703125" style="31" customWidth="1"/>
    <col min="4358" max="4608" width="9.140625" style="31"/>
    <col min="4609" max="4609" width="4.42578125" style="31" customWidth="1"/>
    <col min="4610" max="4610" width="2.85546875" style="31" customWidth="1"/>
    <col min="4611" max="4611" width="9.7109375" style="31" customWidth="1"/>
    <col min="4612" max="4612" width="11.42578125" style="31" customWidth="1"/>
    <col min="4613" max="4613" width="13.5703125" style="31" customWidth="1"/>
    <col min="4614" max="4864" width="9.140625" style="31"/>
    <col min="4865" max="4865" width="4.42578125" style="31" customWidth="1"/>
    <col min="4866" max="4866" width="2.85546875" style="31" customWidth="1"/>
    <col min="4867" max="4867" width="9.7109375" style="31" customWidth="1"/>
    <col min="4868" max="4868" width="11.42578125" style="31" customWidth="1"/>
    <col min="4869" max="4869" width="13.5703125" style="31" customWidth="1"/>
    <col min="4870" max="5120" width="9.140625" style="31"/>
    <col min="5121" max="5121" width="4.42578125" style="31" customWidth="1"/>
    <col min="5122" max="5122" width="2.85546875" style="31" customWidth="1"/>
    <col min="5123" max="5123" width="9.7109375" style="31" customWidth="1"/>
    <col min="5124" max="5124" width="11.42578125" style="31" customWidth="1"/>
    <col min="5125" max="5125" width="13.5703125" style="31" customWidth="1"/>
    <col min="5126" max="5376" width="9.140625" style="31"/>
    <col min="5377" max="5377" width="4.42578125" style="31" customWidth="1"/>
    <col min="5378" max="5378" width="2.85546875" style="31" customWidth="1"/>
    <col min="5379" max="5379" width="9.7109375" style="31" customWidth="1"/>
    <col min="5380" max="5380" width="11.42578125" style="31" customWidth="1"/>
    <col min="5381" max="5381" width="13.5703125" style="31" customWidth="1"/>
    <col min="5382" max="5632" width="9.140625" style="31"/>
    <col min="5633" max="5633" width="4.42578125" style="31" customWidth="1"/>
    <col min="5634" max="5634" width="2.85546875" style="31" customWidth="1"/>
    <col min="5635" max="5635" width="9.7109375" style="31" customWidth="1"/>
    <col min="5636" max="5636" width="11.42578125" style="31" customWidth="1"/>
    <col min="5637" max="5637" width="13.5703125" style="31" customWidth="1"/>
    <col min="5638" max="5888" width="9.140625" style="31"/>
    <col min="5889" max="5889" width="4.42578125" style="31" customWidth="1"/>
    <col min="5890" max="5890" width="2.85546875" style="31" customWidth="1"/>
    <col min="5891" max="5891" width="9.7109375" style="31" customWidth="1"/>
    <col min="5892" max="5892" width="11.42578125" style="31" customWidth="1"/>
    <col min="5893" max="5893" width="13.5703125" style="31" customWidth="1"/>
    <col min="5894" max="6144" width="9.140625" style="31"/>
    <col min="6145" max="6145" width="4.42578125" style="31" customWidth="1"/>
    <col min="6146" max="6146" width="2.85546875" style="31" customWidth="1"/>
    <col min="6147" max="6147" width="9.7109375" style="31" customWidth="1"/>
    <col min="6148" max="6148" width="11.42578125" style="31" customWidth="1"/>
    <col min="6149" max="6149" width="13.5703125" style="31" customWidth="1"/>
    <col min="6150" max="6400" width="9.140625" style="31"/>
    <col min="6401" max="6401" width="4.42578125" style="31" customWidth="1"/>
    <col min="6402" max="6402" width="2.85546875" style="31" customWidth="1"/>
    <col min="6403" max="6403" width="9.7109375" style="31" customWidth="1"/>
    <col min="6404" max="6404" width="11.42578125" style="31" customWidth="1"/>
    <col min="6405" max="6405" width="13.5703125" style="31" customWidth="1"/>
    <col min="6406" max="6656" width="9.140625" style="31"/>
    <col min="6657" max="6657" width="4.42578125" style="31" customWidth="1"/>
    <col min="6658" max="6658" width="2.85546875" style="31" customWidth="1"/>
    <col min="6659" max="6659" width="9.7109375" style="31" customWidth="1"/>
    <col min="6660" max="6660" width="11.42578125" style="31" customWidth="1"/>
    <col min="6661" max="6661" width="13.5703125" style="31" customWidth="1"/>
    <col min="6662" max="6912" width="9.140625" style="31"/>
    <col min="6913" max="6913" width="4.42578125" style="31" customWidth="1"/>
    <col min="6914" max="6914" width="2.85546875" style="31" customWidth="1"/>
    <col min="6915" max="6915" width="9.7109375" style="31" customWidth="1"/>
    <col min="6916" max="6916" width="11.42578125" style="31" customWidth="1"/>
    <col min="6917" max="6917" width="13.5703125" style="31" customWidth="1"/>
    <col min="6918" max="7168" width="9.140625" style="31"/>
    <col min="7169" max="7169" width="4.42578125" style="31" customWidth="1"/>
    <col min="7170" max="7170" width="2.85546875" style="31" customWidth="1"/>
    <col min="7171" max="7171" width="9.7109375" style="31" customWidth="1"/>
    <col min="7172" max="7172" width="11.42578125" style="31" customWidth="1"/>
    <col min="7173" max="7173" width="13.5703125" style="31" customWidth="1"/>
    <col min="7174" max="7424" width="9.140625" style="31"/>
    <col min="7425" max="7425" width="4.42578125" style="31" customWidth="1"/>
    <col min="7426" max="7426" width="2.85546875" style="31" customWidth="1"/>
    <col min="7427" max="7427" width="9.7109375" style="31" customWidth="1"/>
    <col min="7428" max="7428" width="11.42578125" style="31" customWidth="1"/>
    <col min="7429" max="7429" width="13.5703125" style="31" customWidth="1"/>
    <col min="7430" max="7680" width="9.140625" style="31"/>
    <col min="7681" max="7681" width="4.42578125" style="31" customWidth="1"/>
    <col min="7682" max="7682" width="2.85546875" style="31" customWidth="1"/>
    <col min="7683" max="7683" width="9.7109375" style="31" customWidth="1"/>
    <col min="7684" max="7684" width="11.42578125" style="31" customWidth="1"/>
    <col min="7685" max="7685" width="13.5703125" style="31" customWidth="1"/>
    <col min="7686" max="7936" width="9.140625" style="31"/>
    <col min="7937" max="7937" width="4.42578125" style="31" customWidth="1"/>
    <col min="7938" max="7938" width="2.85546875" style="31" customWidth="1"/>
    <col min="7939" max="7939" width="9.7109375" style="31" customWidth="1"/>
    <col min="7940" max="7940" width="11.42578125" style="31" customWidth="1"/>
    <col min="7941" max="7941" width="13.5703125" style="31" customWidth="1"/>
    <col min="7942" max="8192" width="9.140625" style="31"/>
    <col min="8193" max="8193" width="4.42578125" style="31" customWidth="1"/>
    <col min="8194" max="8194" width="2.85546875" style="31" customWidth="1"/>
    <col min="8195" max="8195" width="9.7109375" style="31" customWidth="1"/>
    <col min="8196" max="8196" width="11.42578125" style="31" customWidth="1"/>
    <col min="8197" max="8197" width="13.5703125" style="31" customWidth="1"/>
    <col min="8198" max="8448" width="9.140625" style="31"/>
    <col min="8449" max="8449" width="4.42578125" style="31" customWidth="1"/>
    <col min="8450" max="8450" width="2.85546875" style="31" customWidth="1"/>
    <col min="8451" max="8451" width="9.7109375" style="31" customWidth="1"/>
    <col min="8452" max="8452" width="11.42578125" style="31" customWidth="1"/>
    <col min="8453" max="8453" width="13.5703125" style="31" customWidth="1"/>
    <col min="8454" max="8704" width="9.140625" style="31"/>
    <col min="8705" max="8705" width="4.42578125" style="31" customWidth="1"/>
    <col min="8706" max="8706" width="2.85546875" style="31" customWidth="1"/>
    <col min="8707" max="8707" width="9.7109375" style="31" customWidth="1"/>
    <col min="8708" max="8708" width="11.42578125" style="31" customWidth="1"/>
    <col min="8709" max="8709" width="13.5703125" style="31" customWidth="1"/>
    <col min="8710" max="8960" width="9.140625" style="31"/>
    <col min="8961" max="8961" width="4.42578125" style="31" customWidth="1"/>
    <col min="8962" max="8962" width="2.85546875" style="31" customWidth="1"/>
    <col min="8963" max="8963" width="9.7109375" style="31" customWidth="1"/>
    <col min="8964" max="8964" width="11.42578125" style="31" customWidth="1"/>
    <col min="8965" max="8965" width="13.5703125" style="31" customWidth="1"/>
    <col min="8966" max="9216" width="9.140625" style="31"/>
    <col min="9217" max="9217" width="4.42578125" style="31" customWidth="1"/>
    <col min="9218" max="9218" width="2.85546875" style="31" customWidth="1"/>
    <col min="9219" max="9219" width="9.7109375" style="31" customWidth="1"/>
    <col min="9220" max="9220" width="11.42578125" style="31" customWidth="1"/>
    <col min="9221" max="9221" width="13.5703125" style="31" customWidth="1"/>
    <col min="9222" max="9472" width="9.140625" style="31"/>
    <col min="9473" max="9473" width="4.42578125" style="31" customWidth="1"/>
    <col min="9474" max="9474" width="2.85546875" style="31" customWidth="1"/>
    <col min="9475" max="9475" width="9.7109375" style="31" customWidth="1"/>
    <col min="9476" max="9476" width="11.42578125" style="31" customWidth="1"/>
    <col min="9477" max="9477" width="13.5703125" style="31" customWidth="1"/>
    <col min="9478" max="9728" width="9.140625" style="31"/>
    <col min="9729" max="9729" width="4.42578125" style="31" customWidth="1"/>
    <col min="9730" max="9730" width="2.85546875" style="31" customWidth="1"/>
    <col min="9731" max="9731" width="9.7109375" style="31" customWidth="1"/>
    <col min="9732" max="9732" width="11.42578125" style="31" customWidth="1"/>
    <col min="9733" max="9733" width="13.5703125" style="31" customWidth="1"/>
    <col min="9734" max="9984" width="9.140625" style="31"/>
    <col min="9985" max="9985" width="4.42578125" style="31" customWidth="1"/>
    <col min="9986" max="9986" width="2.85546875" style="31" customWidth="1"/>
    <col min="9987" max="9987" width="9.7109375" style="31" customWidth="1"/>
    <col min="9988" max="9988" width="11.42578125" style="31" customWidth="1"/>
    <col min="9989" max="9989" width="13.5703125" style="31" customWidth="1"/>
    <col min="9990" max="10240" width="9.140625" style="31"/>
    <col min="10241" max="10241" width="4.42578125" style="31" customWidth="1"/>
    <col min="10242" max="10242" width="2.85546875" style="31" customWidth="1"/>
    <col min="10243" max="10243" width="9.7109375" style="31" customWidth="1"/>
    <col min="10244" max="10244" width="11.42578125" style="31" customWidth="1"/>
    <col min="10245" max="10245" width="13.5703125" style="31" customWidth="1"/>
    <col min="10246" max="10496" width="9.140625" style="31"/>
    <col min="10497" max="10497" width="4.42578125" style="31" customWidth="1"/>
    <col min="10498" max="10498" width="2.85546875" style="31" customWidth="1"/>
    <col min="10499" max="10499" width="9.7109375" style="31" customWidth="1"/>
    <col min="10500" max="10500" width="11.42578125" style="31" customWidth="1"/>
    <col min="10501" max="10501" width="13.5703125" style="31" customWidth="1"/>
    <col min="10502" max="10752" width="9.140625" style="31"/>
    <col min="10753" max="10753" width="4.42578125" style="31" customWidth="1"/>
    <col min="10754" max="10754" width="2.85546875" style="31" customWidth="1"/>
    <col min="10755" max="10755" width="9.7109375" style="31" customWidth="1"/>
    <col min="10756" max="10756" width="11.42578125" style="31" customWidth="1"/>
    <col min="10757" max="10757" width="13.5703125" style="31" customWidth="1"/>
    <col min="10758" max="11008" width="9.140625" style="31"/>
    <col min="11009" max="11009" width="4.42578125" style="31" customWidth="1"/>
    <col min="11010" max="11010" width="2.85546875" style="31" customWidth="1"/>
    <col min="11011" max="11011" width="9.7109375" style="31" customWidth="1"/>
    <col min="11012" max="11012" width="11.42578125" style="31" customWidth="1"/>
    <col min="11013" max="11013" width="13.5703125" style="31" customWidth="1"/>
    <col min="11014" max="11264" width="9.140625" style="31"/>
    <col min="11265" max="11265" width="4.42578125" style="31" customWidth="1"/>
    <col min="11266" max="11266" width="2.85546875" style="31" customWidth="1"/>
    <col min="11267" max="11267" width="9.7109375" style="31" customWidth="1"/>
    <col min="11268" max="11268" width="11.42578125" style="31" customWidth="1"/>
    <col min="11269" max="11269" width="13.5703125" style="31" customWidth="1"/>
    <col min="11270" max="11520" width="9.140625" style="31"/>
    <col min="11521" max="11521" width="4.42578125" style="31" customWidth="1"/>
    <col min="11522" max="11522" width="2.85546875" style="31" customWidth="1"/>
    <col min="11523" max="11523" width="9.7109375" style="31" customWidth="1"/>
    <col min="11524" max="11524" width="11.42578125" style="31" customWidth="1"/>
    <col min="11525" max="11525" width="13.5703125" style="31" customWidth="1"/>
    <col min="11526" max="11776" width="9.140625" style="31"/>
    <col min="11777" max="11777" width="4.42578125" style="31" customWidth="1"/>
    <col min="11778" max="11778" width="2.85546875" style="31" customWidth="1"/>
    <col min="11779" max="11779" width="9.7109375" style="31" customWidth="1"/>
    <col min="11780" max="11780" width="11.42578125" style="31" customWidth="1"/>
    <col min="11781" max="11781" width="13.5703125" style="31" customWidth="1"/>
    <col min="11782" max="12032" width="9.140625" style="31"/>
    <col min="12033" max="12033" width="4.42578125" style="31" customWidth="1"/>
    <col min="12034" max="12034" width="2.85546875" style="31" customWidth="1"/>
    <col min="12035" max="12035" width="9.7109375" style="31" customWidth="1"/>
    <col min="12036" max="12036" width="11.42578125" style="31" customWidth="1"/>
    <col min="12037" max="12037" width="13.5703125" style="31" customWidth="1"/>
    <col min="12038" max="12288" width="9.140625" style="31"/>
    <col min="12289" max="12289" width="4.42578125" style="31" customWidth="1"/>
    <col min="12290" max="12290" width="2.85546875" style="31" customWidth="1"/>
    <col min="12291" max="12291" width="9.7109375" style="31" customWidth="1"/>
    <col min="12292" max="12292" width="11.42578125" style="31" customWidth="1"/>
    <col min="12293" max="12293" width="13.5703125" style="31" customWidth="1"/>
    <col min="12294" max="12544" width="9.140625" style="31"/>
    <col min="12545" max="12545" width="4.42578125" style="31" customWidth="1"/>
    <col min="12546" max="12546" width="2.85546875" style="31" customWidth="1"/>
    <col min="12547" max="12547" width="9.7109375" style="31" customWidth="1"/>
    <col min="12548" max="12548" width="11.42578125" style="31" customWidth="1"/>
    <col min="12549" max="12549" width="13.5703125" style="31" customWidth="1"/>
    <col min="12550" max="12800" width="9.140625" style="31"/>
    <col min="12801" max="12801" width="4.42578125" style="31" customWidth="1"/>
    <col min="12802" max="12802" width="2.85546875" style="31" customWidth="1"/>
    <col min="12803" max="12803" width="9.7109375" style="31" customWidth="1"/>
    <col min="12804" max="12804" width="11.42578125" style="31" customWidth="1"/>
    <col min="12805" max="12805" width="13.5703125" style="31" customWidth="1"/>
    <col min="12806" max="13056" width="9.140625" style="31"/>
    <col min="13057" max="13057" width="4.42578125" style="31" customWidth="1"/>
    <col min="13058" max="13058" width="2.85546875" style="31" customWidth="1"/>
    <col min="13059" max="13059" width="9.7109375" style="31" customWidth="1"/>
    <col min="13060" max="13060" width="11.42578125" style="31" customWidth="1"/>
    <col min="13061" max="13061" width="13.5703125" style="31" customWidth="1"/>
    <col min="13062" max="13312" width="9.140625" style="31"/>
    <col min="13313" max="13313" width="4.42578125" style="31" customWidth="1"/>
    <col min="13314" max="13314" width="2.85546875" style="31" customWidth="1"/>
    <col min="13315" max="13315" width="9.7109375" style="31" customWidth="1"/>
    <col min="13316" max="13316" width="11.42578125" style="31" customWidth="1"/>
    <col min="13317" max="13317" width="13.5703125" style="31" customWidth="1"/>
    <col min="13318" max="13568" width="9.140625" style="31"/>
    <col min="13569" max="13569" width="4.42578125" style="31" customWidth="1"/>
    <col min="13570" max="13570" width="2.85546875" style="31" customWidth="1"/>
    <col min="13571" max="13571" width="9.7109375" style="31" customWidth="1"/>
    <col min="13572" max="13572" width="11.42578125" style="31" customWidth="1"/>
    <col min="13573" max="13573" width="13.5703125" style="31" customWidth="1"/>
    <col min="13574" max="13824" width="9.140625" style="31"/>
    <col min="13825" max="13825" width="4.42578125" style="31" customWidth="1"/>
    <col min="13826" max="13826" width="2.85546875" style="31" customWidth="1"/>
    <col min="13827" max="13827" width="9.7109375" style="31" customWidth="1"/>
    <col min="13828" max="13828" width="11.42578125" style="31" customWidth="1"/>
    <col min="13829" max="13829" width="13.5703125" style="31" customWidth="1"/>
    <col min="13830" max="14080" width="9.140625" style="31"/>
    <col min="14081" max="14081" width="4.42578125" style="31" customWidth="1"/>
    <col min="14082" max="14082" width="2.85546875" style="31" customWidth="1"/>
    <col min="14083" max="14083" width="9.7109375" style="31" customWidth="1"/>
    <col min="14084" max="14084" width="11.42578125" style="31" customWidth="1"/>
    <col min="14085" max="14085" width="13.5703125" style="31" customWidth="1"/>
    <col min="14086" max="14336" width="9.140625" style="31"/>
    <col min="14337" max="14337" width="4.42578125" style="31" customWidth="1"/>
    <col min="14338" max="14338" width="2.85546875" style="31" customWidth="1"/>
    <col min="14339" max="14339" width="9.7109375" style="31" customWidth="1"/>
    <col min="14340" max="14340" width="11.42578125" style="31" customWidth="1"/>
    <col min="14341" max="14341" width="13.5703125" style="31" customWidth="1"/>
    <col min="14342" max="14592" width="9.140625" style="31"/>
    <col min="14593" max="14593" width="4.42578125" style="31" customWidth="1"/>
    <col min="14594" max="14594" width="2.85546875" style="31" customWidth="1"/>
    <col min="14595" max="14595" width="9.7109375" style="31" customWidth="1"/>
    <col min="14596" max="14596" width="11.42578125" style="31" customWidth="1"/>
    <col min="14597" max="14597" width="13.5703125" style="31" customWidth="1"/>
    <col min="14598" max="14848" width="9.140625" style="31"/>
    <col min="14849" max="14849" width="4.42578125" style="31" customWidth="1"/>
    <col min="14850" max="14850" width="2.85546875" style="31" customWidth="1"/>
    <col min="14851" max="14851" width="9.7109375" style="31" customWidth="1"/>
    <col min="14852" max="14852" width="11.42578125" style="31" customWidth="1"/>
    <col min="14853" max="14853" width="13.5703125" style="31" customWidth="1"/>
    <col min="14854" max="15104" width="9.140625" style="31"/>
    <col min="15105" max="15105" width="4.42578125" style="31" customWidth="1"/>
    <col min="15106" max="15106" width="2.85546875" style="31" customWidth="1"/>
    <col min="15107" max="15107" width="9.7109375" style="31" customWidth="1"/>
    <col min="15108" max="15108" width="11.42578125" style="31" customWidth="1"/>
    <col min="15109" max="15109" width="13.5703125" style="31" customWidth="1"/>
    <col min="15110" max="15360" width="9.140625" style="31"/>
    <col min="15361" max="15361" width="4.42578125" style="31" customWidth="1"/>
    <col min="15362" max="15362" width="2.85546875" style="31" customWidth="1"/>
    <col min="15363" max="15363" width="9.7109375" style="31" customWidth="1"/>
    <col min="15364" max="15364" width="11.42578125" style="31" customWidth="1"/>
    <col min="15365" max="15365" width="13.5703125" style="31" customWidth="1"/>
    <col min="15366" max="15616" width="9.140625" style="31"/>
    <col min="15617" max="15617" width="4.42578125" style="31" customWidth="1"/>
    <col min="15618" max="15618" width="2.85546875" style="31" customWidth="1"/>
    <col min="15619" max="15619" width="9.7109375" style="31" customWidth="1"/>
    <col min="15620" max="15620" width="11.42578125" style="31" customWidth="1"/>
    <col min="15621" max="15621" width="13.5703125" style="31" customWidth="1"/>
    <col min="15622" max="15872" width="9.140625" style="31"/>
    <col min="15873" max="15873" width="4.42578125" style="31" customWidth="1"/>
    <col min="15874" max="15874" width="2.85546875" style="31" customWidth="1"/>
    <col min="15875" max="15875" width="9.7109375" style="31" customWidth="1"/>
    <col min="15876" max="15876" width="11.42578125" style="31" customWidth="1"/>
    <col min="15877" max="15877" width="13.5703125" style="31" customWidth="1"/>
    <col min="15878" max="16128" width="9.140625" style="31"/>
    <col min="16129" max="16129" width="4.42578125" style="31" customWidth="1"/>
    <col min="16130" max="16130" width="2.85546875" style="31" customWidth="1"/>
    <col min="16131" max="16131" width="9.7109375" style="31" customWidth="1"/>
    <col min="16132" max="16132" width="11.42578125" style="31" customWidth="1"/>
    <col min="16133" max="16133" width="13.5703125" style="31" customWidth="1"/>
    <col min="16134" max="16384" width="9.140625" style="31"/>
  </cols>
  <sheetData>
    <row r="1" spans="1:10" x14ac:dyDescent="0.25">
      <c r="A1" s="30"/>
      <c r="C1" s="32"/>
    </row>
    <row r="2" spans="1:10" x14ac:dyDescent="0.25">
      <c r="B2" s="33"/>
      <c r="C2" s="34"/>
      <c r="D2" s="34"/>
      <c r="E2" s="35"/>
    </row>
    <row r="3" spans="1:10" x14ac:dyDescent="0.25">
      <c r="A3" s="36"/>
    </row>
    <row r="4" spans="1:10" x14ac:dyDescent="0.25">
      <c r="A4" s="36"/>
    </row>
    <row r="5" spans="1:10" x14ac:dyDescent="0.25">
      <c r="A5" s="36"/>
    </row>
    <row r="6" spans="1:10" x14ac:dyDescent="0.25">
      <c r="A6" s="36"/>
    </row>
    <row r="7" spans="1:10" x14ac:dyDescent="0.25">
      <c r="A7" s="30"/>
      <c r="C7" s="32" t="s">
        <v>96</v>
      </c>
    </row>
    <row r="8" spans="1:10" x14ac:dyDescent="0.25">
      <c r="B8" s="33"/>
      <c r="C8" s="34" t="s">
        <v>97</v>
      </c>
      <c r="D8" s="37" t="s">
        <v>98</v>
      </c>
      <c r="E8" s="37" t="s">
        <v>99</v>
      </c>
    </row>
    <row r="9" spans="1:10" x14ac:dyDescent="0.25">
      <c r="A9" s="36"/>
      <c r="C9" s="31">
        <v>8</v>
      </c>
      <c r="D9" s="38">
        <v>1</v>
      </c>
      <c r="E9" s="38"/>
    </row>
    <row r="10" spans="1:10" x14ac:dyDescent="0.25">
      <c r="A10" s="36"/>
      <c r="C10" s="31">
        <v>1</v>
      </c>
      <c r="D10" s="38">
        <v>2</v>
      </c>
      <c r="E10" s="38"/>
    </row>
    <row r="11" spans="1:10" x14ac:dyDescent="0.25">
      <c r="A11" s="36"/>
      <c r="C11" s="31">
        <v>4</v>
      </c>
      <c r="D11" s="38">
        <v>3</v>
      </c>
      <c r="E11" s="38"/>
    </row>
    <row r="12" spans="1:10" x14ac:dyDescent="0.25">
      <c r="A12" s="36"/>
    </row>
    <row r="13" spans="1:10" x14ac:dyDescent="0.25">
      <c r="A13" s="30"/>
      <c r="B13" s="39"/>
      <c r="C13" s="39" t="s">
        <v>100</v>
      </c>
      <c r="G13" s="39"/>
      <c r="J13" s="39"/>
    </row>
    <row r="14" spans="1:10" x14ac:dyDescent="0.25">
      <c r="B14" s="39"/>
      <c r="C14" s="35" t="s">
        <v>101</v>
      </c>
      <c r="G14" s="35" t="s">
        <v>102</v>
      </c>
      <c r="J14" s="35" t="s">
        <v>103</v>
      </c>
    </row>
    <row r="15" spans="1:10" x14ac:dyDescent="0.25">
      <c r="A15" s="36"/>
      <c r="C15" s="40">
        <v>2</v>
      </c>
      <c r="D15" s="40">
        <v>1</v>
      </c>
      <c r="E15" s="40">
        <v>3</v>
      </c>
      <c r="G15" s="40">
        <v>1</v>
      </c>
      <c r="H15" s="40">
        <v>1</v>
      </c>
    </row>
    <row r="16" spans="1:10" x14ac:dyDescent="0.25">
      <c r="A16" s="36"/>
      <c r="C16" s="40">
        <v>4</v>
      </c>
      <c r="D16" s="40">
        <v>-1</v>
      </c>
      <c r="E16" s="40">
        <v>2</v>
      </c>
      <c r="G16" s="40">
        <v>1</v>
      </c>
      <c r="H16" s="40">
        <v>1</v>
      </c>
    </row>
    <row r="17" spans="1:8" x14ac:dyDescent="0.25">
      <c r="A17" s="36"/>
      <c r="C17" s="40">
        <v>-2</v>
      </c>
      <c r="D17" s="40">
        <v>3</v>
      </c>
      <c r="E17" s="40">
        <v>1</v>
      </c>
      <c r="G17" s="40">
        <v>1</v>
      </c>
      <c r="H17" s="40">
        <v>1</v>
      </c>
    </row>
    <row r="18" spans="1:8" x14ac:dyDescent="0.25">
      <c r="A18" s="36"/>
      <c r="C18" s="40">
        <v>5</v>
      </c>
      <c r="D18" s="40">
        <v>-6</v>
      </c>
      <c r="E18" s="40">
        <v>3</v>
      </c>
    </row>
    <row r="19" spans="1:8" x14ac:dyDescent="0.25">
      <c r="A19" s="36"/>
      <c r="C19" s="40">
        <v>4</v>
      </c>
      <c r="D19" s="40">
        <v>2</v>
      </c>
      <c r="E19" s="40">
        <v>-1</v>
      </c>
    </row>
    <row r="20" spans="1:8" x14ac:dyDescent="0.25">
      <c r="A20" s="36"/>
    </row>
    <row r="21" spans="1:8" x14ac:dyDescent="0.25">
      <c r="A21" s="36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D9B5-66BB-469B-9CB8-9FABB892A379}">
  <dimension ref="A1:G100"/>
  <sheetViews>
    <sheetView workbookViewId="0">
      <selection activeCell="A13" sqref="A13"/>
    </sheetView>
  </sheetViews>
  <sheetFormatPr defaultRowHeight="12.75" x14ac:dyDescent="0.2"/>
  <sheetData>
    <row r="1" spans="1:7" ht="16.5" thickBot="1" x14ac:dyDescent="0.3">
      <c r="A1" s="1" t="s">
        <v>104</v>
      </c>
      <c r="F1" s="41" t="s">
        <v>105</v>
      </c>
      <c r="G1" s="42"/>
    </row>
    <row r="3" spans="1:7" ht="14.25" x14ac:dyDescent="0.2">
      <c r="D3" s="8" t="s">
        <v>106</v>
      </c>
    </row>
    <row r="4" spans="1:7" ht="15.75" x14ac:dyDescent="0.25">
      <c r="A4" s="43" t="s">
        <v>107</v>
      </c>
      <c r="B4" s="43" t="s">
        <v>108</v>
      </c>
    </row>
    <row r="5" spans="1:7" x14ac:dyDescent="0.2">
      <c r="A5">
        <v>-5</v>
      </c>
    </row>
    <row r="6" spans="1:7" x14ac:dyDescent="0.2">
      <c r="A6">
        <v>-4.9000000000000004</v>
      </c>
    </row>
    <row r="7" spans="1:7" x14ac:dyDescent="0.2">
      <c r="A7">
        <v>-4.8</v>
      </c>
    </row>
    <row r="8" spans="1:7" x14ac:dyDescent="0.2">
      <c r="A8">
        <v>-4.7</v>
      </c>
    </row>
    <row r="9" spans="1:7" x14ac:dyDescent="0.2">
      <c r="A9">
        <v>-4.5999999999999996</v>
      </c>
    </row>
    <row r="10" spans="1:7" x14ac:dyDescent="0.2">
      <c r="A10">
        <v>-4.5</v>
      </c>
    </row>
    <row r="11" spans="1:7" x14ac:dyDescent="0.2">
      <c r="A11">
        <v>-4.4000000000000004</v>
      </c>
    </row>
    <row r="12" spans="1:7" x14ac:dyDescent="0.2">
      <c r="A12">
        <v>-4.3</v>
      </c>
    </row>
    <row r="13" spans="1:7" x14ac:dyDescent="0.2">
      <c r="A13">
        <v>-4.2</v>
      </c>
    </row>
    <row r="14" spans="1:7" x14ac:dyDescent="0.2">
      <c r="A14">
        <v>-4.0999999999999996</v>
      </c>
    </row>
    <row r="15" spans="1:7" x14ac:dyDescent="0.2">
      <c r="A15">
        <v>-4</v>
      </c>
    </row>
    <row r="16" spans="1:7" x14ac:dyDescent="0.2">
      <c r="A16">
        <v>-3.9</v>
      </c>
    </row>
    <row r="17" spans="1:1" x14ac:dyDescent="0.2">
      <c r="A17">
        <v>-3.8</v>
      </c>
    </row>
    <row r="18" spans="1:1" x14ac:dyDescent="0.2">
      <c r="A18">
        <v>-3.7</v>
      </c>
    </row>
    <row r="19" spans="1:1" x14ac:dyDescent="0.2">
      <c r="A19">
        <v>-3.6</v>
      </c>
    </row>
    <row r="20" spans="1:1" x14ac:dyDescent="0.2">
      <c r="A20">
        <v>-3.5</v>
      </c>
    </row>
    <row r="21" spans="1:1" x14ac:dyDescent="0.2">
      <c r="A21">
        <v>-3.4</v>
      </c>
    </row>
    <row r="22" spans="1:1" x14ac:dyDescent="0.2">
      <c r="A22">
        <v>-3.3</v>
      </c>
    </row>
    <row r="23" spans="1:1" x14ac:dyDescent="0.2">
      <c r="A23">
        <v>-3.2</v>
      </c>
    </row>
    <row r="24" spans="1:1" x14ac:dyDescent="0.2">
      <c r="A24">
        <v>-3.1</v>
      </c>
    </row>
    <row r="25" spans="1:1" x14ac:dyDescent="0.2">
      <c r="A25">
        <v>-3</v>
      </c>
    </row>
    <row r="26" spans="1:1" x14ac:dyDescent="0.2">
      <c r="A26">
        <v>-2.9</v>
      </c>
    </row>
    <row r="27" spans="1:1" x14ac:dyDescent="0.2">
      <c r="A27">
        <v>-2.8</v>
      </c>
    </row>
    <row r="28" spans="1:1" x14ac:dyDescent="0.2">
      <c r="A28">
        <v>-2.7</v>
      </c>
    </row>
    <row r="29" spans="1:1" x14ac:dyDescent="0.2">
      <c r="A29">
        <v>-2.6</v>
      </c>
    </row>
    <row r="30" spans="1:1" x14ac:dyDescent="0.2">
      <c r="A30">
        <v>-2.5</v>
      </c>
    </row>
    <row r="31" spans="1:1" x14ac:dyDescent="0.2">
      <c r="A31">
        <v>-2.4</v>
      </c>
    </row>
    <row r="32" spans="1:1" x14ac:dyDescent="0.2">
      <c r="A32">
        <v>-2.2999999999999998</v>
      </c>
    </row>
    <row r="33" spans="1:1" x14ac:dyDescent="0.2">
      <c r="A33">
        <v>-2.2000000000000002</v>
      </c>
    </row>
    <row r="34" spans="1:1" x14ac:dyDescent="0.2">
      <c r="A34">
        <v>-2.1</v>
      </c>
    </row>
    <row r="35" spans="1:1" x14ac:dyDescent="0.2">
      <c r="A35">
        <v>-2</v>
      </c>
    </row>
    <row r="36" spans="1:1" x14ac:dyDescent="0.2">
      <c r="A36">
        <v>-1.9</v>
      </c>
    </row>
    <row r="37" spans="1:1" x14ac:dyDescent="0.2">
      <c r="A37">
        <v>-1.8</v>
      </c>
    </row>
    <row r="38" spans="1:1" x14ac:dyDescent="0.2">
      <c r="A38">
        <v>-1.7</v>
      </c>
    </row>
    <row r="39" spans="1:1" x14ac:dyDescent="0.2">
      <c r="A39">
        <v>-1.6</v>
      </c>
    </row>
    <row r="40" spans="1:1" x14ac:dyDescent="0.2">
      <c r="A40">
        <v>-1.5</v>
      </c>
    </row>
    <row r="41" spans="1:1" x14ac:dyDescent="0.2">
      <c r="A41">
        <v>-1.4</v>
      </c>
    </row>
    <row r="42" spans="1:1" x14ac:dyDescent="0.2">
      <c r="A42">
        <v>-1.3</v>
      </c>
    </row>
    <row r="43" spans="1:1" x14ac:dyDescent="0.2">
      <c r="A43">
        <v>-1.2</v>
      </c>
    </row>
    <row r="44" spans="1:1" x14ac:dyDescent="0.2">
      <c r="A44">
        <v>-1.1000000000000001</v>
      </c>
    </row>
    <row r="45" spans="1:1" x14ac:dyDescent="0.2">
      <c r="A45">
        <v>-1</v>
      </c>
    </row>
    <row r="46" spans="1:1" x14ac:dyDescent="0.2">
      <c r="A46">
        <v>-0.89999999999999947</v>
      </c>
    </row>
    <row r="47" spans="1:1" x14ac:dyDescent="0.2">
      <c r="A47">
        <v>-0.8</v>
      </c>
    </row>
    <row r="48" spans="1:1" x14ac:dyDescent="0.2">
      <c r="A48">
        <v>-0.7</v>
      </c>
    </row>
    <row r="49" spans="1:1" x14ac:dyDescent="0.2">
      <c r="A49">
        <v>-0.6</v>
      </c>
    </row>
    <row r="50" spans="1:1" x14ac:dyDescent="0.2">
      <c r="A50">
        <v>-0.5</v>
      </c>
    </row>
    <row r="51" spans="1:1" x14ac:dyDescent="0.2">
      <c r="A51">
        <v>-0.39999999999999947</v>
      </c>
    </row>
    <row r="52" spans="1:1" x14ac:dyDescent="0.2">
      <c r="A52">
        <v>-0.3</v>
      </c>
    </row>
    <row r="53" spans="1:1" x14ac:dyDescent="0.2">
      <c r="A53">
        <v>-0.19999999999999929</v>
      </c>
    </row>
    <row r="54" spans="1:1" x14ac:dyDescent="0.2">
      <c r="A54">
        <v>-9.9999999999999645E-2</v>
      </c>
    </row>
    <row r="55" spans="1:1" x14ac:dyDescent="0.2">
      <c r="A55">
        <v>0</v>
      </c>
    </row>
    <row r="56" spans="1:1" x14ac:dyDescent="0.2">
      <c r="A56">
        <v>0.10000000000000053</v>
      </c>
    </row>
    <row r="57" spans="1:1" x14ac:dyDescent="0.2">
      <c r="A57">
        <v>0.2</v>
      </c>
    </row>
    <row r="58" spans="1:1" x14ac:dyDescent="0.2">
      <c r="A58">
        <v>0.30000000000000071</v>
      </c>
    </row>
    <row r="59" spans="1:1" x14ac:dyDescent="0.2">
      <c r="A59">
        <v>0.4</v>
      </c>
    </row>
    <row r="60" spans="1:1" x14ac:dyDescent="0.2">
      <c r="A60">
        <v>0.5</v>
      </c>
    </row>
    <row r="61" spans="1:1" x14ac:dyDescent="0.2">
      <c r="A61">
        <v>0.60000000000000053</v>
      </c>
    </row>
    <row r="62" spans="1:1" x14ac:dyDescent="0.2">
      <c r="A62">
        <v>0.7</v>
      </c>
    </row>
    <row r="63" spans="1:1" x14ac:dyDescent="0.2">
      <c r="A63">
        <v>0.80000000000000071</v>
      </c>
    </row>
    <row r="64" spans="1:1" x14ac:dyDescent="0.2">
      <c r="A64">
        <v>0.9</v>
      </c>
    </row>
    <row r="65" spans="1:1" x14ac:dyDescent="0.2">
      <c r="A65">
        <v>1</v>
      </c>
    </row>
    <row r="66" spans="1:1" x14ac:dyDescent="0.2">
      <c r="A66">
        <v>1.1000000000000001</v>
      </c>
    </row>
    <row r="67" spans="1:1" x14ac:dyDescent="0.2">
      <c r="A67">
        <v>1.2</v>
      </c>
    </row>
    <row r="68" spans="1:1" x14ac:dyDescent="0.2">
      <c r="A68">
        <v>1.3</v>
      </c>
    </row>
    <row r="69" spans="1:1" x14ac:dyDescent="0.2">
      <c r="A69">
        <v>1.4</v>
      </c>
    </row>
    <row r="70" spans="1:1" x14ac:dyDescent="0.2">
      <c r="A70">
        <v>1.5</v>
      </c>
    </row>
    <row r="71" spans="1:1" x14ac:dyDescent="0.2">
      <c r="A71">
        <v>1.6</v>
      </c>
    </row>
    <row r="72" spans="1:1" x14ac:dyDescent="0.2">
      <c r="A72">
        <v>1.7</v>
      </c>
    </row>
    <row r="73" spans="1:1" x14ac:dyDescent="0.2">
      <c r="A73">
        <v>1.8</v>
      </c>
    </row>
    <row r="74" spans="1:1" x14ac:dyDescent="0.2">
      <c r="A74">
        <v>1.9</v>
      </c>
    </row>
    <row r="75" spans="1:1" x14ac:dyDescent="0.2">
      <c r="A75">
        <v>2</v>
      </c>
    </row>
    <row r="76" spans="1:1" x14ac:dyDescent="0.2">
      <c r="A76">
        <v>2.1</v>
      </c>
    </row>
    <row r="77" spans="1:1" x14ac:dyDescent="0.2">
      <c r="A77">
        <v>2.2000000000000002</v>
      </c>
    </row>
    <row r="78" spans="1:1" x14ac:dyDescent="0.2">
      <c r="A78">
        <v>2.2999999999999998</v>
      </c>
    </row>
    <row r="79" spans="1:1" x14ac:dyDescent="0.2">
      <c r="A79">
        <v>2.4</v>
      </c>
    </row>
    <row r="80" spans="1:1" x14ac:dyDescent="0.2">
      <c r="A80">
        <v>2.5</v>
      </c>
    </row>
    <row r="81" spans="1:1" x14ac:dyDescent="0.2">
      <c r="A81">
        <v>2.6</v>
      </c>
    </row>
    <row r="82" spans="1:1" x14ac:dyDescent="0.2">
      <c r="A82">
        <v>2.7</v>
      </c>
    </row>
    <row r="83" spans="1:1" x14ac:dyDescent="0.2">
      <c r="A83">
        <v>2.8</v>
      </c>
    </row>
    <row r="84" spans="1:1" x14ac:dyDescent="0.2">
      <c r="A84">
        <v>2.9</v>
      </c>
    </row>
    <row r="85" spans="1:1" x14ac:dyDescent="0.2">
      <c r="A85">
        <v>3</v>
      </c>
    </row>
    <row r="86" spans="1:1" x14ac:dyDescent="0.2">
      <c r="A86">
        <v>3.1</v>
      </c>
    </row>
    <row r="87" spans="1:1" x14ac:dyDescent="0.2">
      <c r="A87">
        <v>3.2</v>
      </c>
    </row>
    <row r="88" spans="1:1" x14ac:dyDescent="0.2">
      <c r="A88">
        <v>3.3</v>
      </c>
    </row>
    <row r="89" spans="1:1" x14ac:dyDescent="0.2">
      <c r="A89">
        <v>3.4</v>
      </c>
    </row>
    <row r="90" spans="1:1" x14ac:dyDescent="0.2">
      <c r="A90">
        <v>3.5</v>
      </c>
    </row>
    <row r="91" spans="1:1" x14ac:dyDescent="0.2">
      <c r="A91">
        <v>3.6</v>
      </c>
    </row>
    <row r="92" spans="1:1" x14ac:dyDescent="0.2">
      <c r="A92">
        <v>3.7</v>
      </c>
    </row>
    <row r="93" spans="1:1" x14ac:dyDescent="0.2">
      <c r="A93">
        <v>3.8</v>
      </c>
    </row>
    <row r="94" spans="1:1" x14ac:dyDescent="0.2">
      <c r="A94">
        <v>3.9</v>
      </c>
    </row>
    <row r="95" spans="1:1" x14ac:dyDescent="0.2">
      <c r="A95">
        <v>4</v>
      </c>
    </row>
    <row r="96" spans="1:1" x14ac:dyDescent="0.2">
      <c r="A96">
        <v>4.0999999999999996</v>
      </c>
    </row>
    <row r="97" spans="1:1" x14ac:dyDescent="0.2">
      <c r="A97">
        <v>4.2</v>
      </c>
    </row>
    <row r="98" spans="1:1" x14ac:dyDescent="0.2">
      <c r="A98">
        <v>4.3</v>
      </c>
    </row>
    <row r="99" spans="1:1" x14ac:dyDescent="0.2">
      <c r="A99">
        <v>4.4000000000000004</v>
      </c>
    </row>
    <row r="100" spans="1:1" x14ac:dyDescent="0.2">
      <c r="A100">
        <v>4.5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60B5-DCC1-44A0-A814-23F594090DD3}">
  <dimension ref="A1:F14"/>
  <sheetViews>
    <sheetView workbookViewId="0">
      <selection activeCell="A13" sqref="A13"/>
    </sheetView>
  </sheetViews>
  <sheetFormatPr defaultRowHeight="12.75" x14ac:dyDescent="0.2"/>
  <sheetData>
    <row r="1" spans="1:6" ht="15" x14ac:dyDescent="0.25">
      <c r="A1" s="44"/>
    </row>
    <row r="2" spans="1:6" ht="15" x14ac:dyDescent="0.25">
      <c r="A2" s="44" t="s">
        <v>109</v>
      </c>
    </row>
    <row r="4" spans="1:6" x14ac:dyDescent="0.2">
      <c r="A4" t="s">
        <v>110</v>
      </c>
      <c r="C4" t="s">
        <v>111</v>
      </c>
    </row>
    <row r="5" spans="1:6" x14ac:dyDescent="0.2">
      <c r="A5" t="s">
        <v>112</v>
      </c>
    </row>
    <row r="6" spans="1:6" x14ac:dyDescent="0.2">
      <c r="A6" t="s">
        <v>113</v>
      </c>
    </row>
    <row r="14" spans="1:6" x14ac:dyDescent="0.2">
      <c r="F14" s="4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Výskyt hodnot</vt:lpstr>
      <vt:lpstr>Sude nebo liché</vt:lpstr>
      <vt:lpstr>Podmíněný formát</vt:lpstr>
      <vt:lpstr>Zaokrouhlení</vt:lpstr>
      <vt:lpstr>Obezita</vt:lpstr>
      <vt:lpstr>Ověření dat</vt:lpstr>
      <vt:lpstr>Obilí</vt:lpstr>
      <vt:lpstr>MaticFce</vt:lpstr>
      <vt:lpstr>Průběh fce</vt:lpstr>
      <vt:lpstr>Rodné číslo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</dc:creator>
  <cp:lastModifiedBy>Kadlec Oldřich</cp:lastModifiedBy>
  <dcterms:created xsi:type="dcterms:W3CDTF">2021-02-17T19:58:44Z</dcterms:created>
  <dcterms:modified xsi:type="dcterms:W3CDTF">2021-04-29T07:44:29Z</dcterms:modified>
</cp:coreProperties>
</file>