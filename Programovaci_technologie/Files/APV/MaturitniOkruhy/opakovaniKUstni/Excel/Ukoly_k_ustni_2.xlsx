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sptaji-my.sharepoint.com/personal/kadlec_ssptaji_cz/Documents/APV4/Excel_ustni/"/>
    </mc:Choice>
  </mc:AlternateContent>
  <xr:revisionPtr revIDLastSave="4" documentId="8_{A6160DA0-1415-4AAD-A290-14CA6B2BDCD6}" xr6:coauthVersionLast="46" xr6:coauthVersionMax="46" xr10:uidLastSave="{2B6DE030-BB3E-487D-8001-EC5E9B5B4809}"/>
  <bookViews>
    <workbookView xWindow="-120" yWindow="-120" windowWidth="29040" windowHeight="15840" activeTab="4" xr2:uid="{00000000-000D-0000-FFFF-FFFF00000000}"/>
  </bookViews>
  <sheets>
    <sheet name="Stat" sheetId="5" r:id="rId1"/>
    <sheet name="KT" sheetId="4" r:id="rId2"/>
    <sheet name="Souhrn" sheetId="6" r:id="rId3"/>
    <sheet name="Fin" sheetId="7" r:id="rId4"/>
    <sheet name="Pracovníci" sheetId="8" r:id="rId5"/>
    <sheet name="Cenik" sheetId="9" r:id="rId6"/>
  </sheets>
  <definedNames>
    <definedName name="_xlnm._FilterDatabase" localSheetId="4" hidden="1">Pracovníci!$A$1:$I$100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9" l="1"/>
  <c r="G17" i="9" s="1"/>
  <c r="E16" i="9"/>
  <c r="G16" i="9" s="1"/>
  <c r="G15" i="9"/>
  <c r="E15" i="9"/>
  <c r="G14" i="9"/>
  <c r="E14" i="9"/>
  <c r="G13" i="9"/>
  <c r="E13" i="9"/>
  <c r="G12" i="9"/>
  <c r="E12" i="9"/>
  <c r="G11" i="9"/>
  <c r="E11" i="9"/>
  <c r="G10" i="9"/>
  <c r="E10" i="9"/>
  <c r="G9" i="9"/>
  <c r="E9" i="9"/>
  <c r="G8" i="9"/>
  <c r="E8" i="9"/>
  <c r="G7" i="9"/>
  <c r="E7" i="9"/>
  <c r="G6" i="9"/>
  <c r="E6" i="9"/>
  <c r="G5" i="9"/>
  <c r="E5" i="9"/>
  <c r="G4" i="9"/>
  <c r="E4" i="9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F4" i="8"/>
  <c r="E4" i="8"/>
  <c r="F3" i="8"/>
  <c r="E3" i="8"/>
  <c r="F2" i="8"/>
  <c r="E2" i="8"/>
</calcChain>
</file>

<file path=xl/sharedStrings.xml><?xml version="1.0" encoding="utf-8"?>
<sst xmlns="http://schemas.openxmlformats.org/spreadsheetml/2006/main" count="1001" uniqueCount="306">
  <si>
    <t>Jméno</t>
  </si>
  <si>
    <t>Příjmení</t>
  </si>
  <si>
    <t>Oddělení</t>
  </si>
  <si>
    <t>Rok narození</t>
  </si>
  <si>
    <t>Vzdělání</t>
  </si>
  <si>
    <t>Počet dětí</t>
  </si>
  <si>
    <t>Délka praxe</t>
  </si>
  <si>
    <t>Petr</t>
  </si>
  <si>
    <t>Pavel</t>
  </si>
  <si>
    <t>Karel</t>
  </si>
  <si>
    <t>Jan</t>
  </si>
  <si>
    <t>Josef</t>
  </si>
  <si>
    <t>Zdeněk</t>
  </si>
  <si>
    <t>Milan</t>
  </si>
  <si>
    <t>Michal</t>
  </si>
  <si>
    <t>Jiří</t>
  </si>
  <si>
    <t>Hana</t>
  </si>
  <si>
    <t>Helena</t>
  </si>
  <si>
    <t>Petra</t>
  </si>
  <si>
    <t>František</t>
  </si>
  <si>
    <t>Otakar</t>
  </si>
  <si>
    <t>Stanislav</t>
  </si>
  <si>
    <t>Alena</t>
  </si>
  <si>
    <t>Monika</t>
  </si>
  <si>
    <t>Aleš</t>
  </si>
  <si>
    <t>Libor</t>
  </si>
  <si>
    <t>Jarmila</t>
  </si>
  <si>
    <t>Novák</t>
  </si>
  <si>
    <t>Mladý</t>
  </si>
  <si>
    <t>Nový</t>
  </si>
  <si>
    <t>Novotný</t>
  </si>
  <si>
    <t>Plch</t>
  </si>
  <si>
    <t>Pulec</t>
  </si>
  <si>
    <t>Mlčoch</t>
  </si>
  <si>
    <t>Nemlád</t>
  </si>
  <si>
    <t>Nerad</t>
  </si>
  <si>
    <t>Jerž</t>
  </si>
  <si>
    <t>Picmaus</t>
  </si>
  <si>
    <t>Novotná</t>
  </si>
  <si>
    <t>Mladá</t>
  </si>
  <si>
    <t>Strž</t>
  </si>
  <si>
    <t>Kuš</t>
  </si>
  <si>
    <t>Hrst</t>
  </si>
  <si>
    <t>Nová</t>
  </si>
  <si>
    <t>Starý</t>
  </si>
  <si>
    <t>Jelen</t>
  </si>
  <si>
    <t>Mls</t>
  </si>
  <si>
    <t>Strmý</t>
  </si>
  <si>
    <t>Kusý</t>
  </si>
  <si>
    <t>Krejčí</t>
  </si>
  <si>
    <t>Drahá</t>
  </si>
  <si>
    <t>Bílá</t>
  </si>
  <si>
    <t>Černý</t>
  </si>
  <si>
    <t>Junák</t>
  </si>
  <si>
    <t>Janek</t>
  </si>
  <si>
    <t>Hrozná</t>
  </si>
  <si>
    <t>stavební</t>
  </si>
  <si>
    <t>strojní</t>
  </si>
  <si>
    <t>elektro</t>
  </si>
  <si>
    <t>požární</t>
  </si>
  <si>
    <t>sanita</t>
  </si>
  <si>
    <t>ředitelství</t>
  </si>
  <si>
    <t>VŠ</t>
  </si>
  <si>
    <t>SŠ</t>
  </si>
  <si>
    <t>ZŠ</t>
  </si>
  <si>
    <t>Funkce</t>
  </si>
  <si>
    <t>Plat</t>
  </si>
  <si>
    <t>ředitel</t>
  </si>
  <si>
    <t>sekretářka</t>
  </si>
  <si>
    <t>vedoucí oddělení</t>
  </si>
  <si>
    <t>referent</t>
  </si>
  <si>
    <t>dělník</t>
  </si>
  <si>
    <t>mistr</t>
  </si>
  <si>
    <t xml:space="preserve">Pomocí kontingenční tabulky vytvořené podle oddělení a funkce zjistěte počty dětí. </t>
  </si>
  <si>
    <t xml:space="preserve">Pomocí kontingenční tabulky vytvořené podle oddělení a funkce zjistěte součty platů a průměry platů. </t>
  </si>
  <si>
    <t xml:space="preserve">Pomocí kontingenční tabulky vytvořené podle oddělení a vzdělání zjistěte počty lidí s daným vzděláním.  </t>
  </si>
  <si>
    <t>Každou tabulku vložte na samostatný list.</t>
  </si>
  <si>
    <t>Peněžní deník</t>
  </si>
  <si>
    <t>příjem</t>
  </si>
  <si>
    <t>výdej</t>
  </si>
  <si>
    <r>
      <t xml:space="preserve">Pomocí funkxce </t>
    </r>
    <r>
      <rPr>
        <b/>
        <sz val="11"/>
        <color indexed="8"/>
        <rFont val="Calibri"/>
        <family val="2"/>
        <charset val="238"/>
      </rPr>
      <t>SUMIF</t>
    </r>
    <r>
      <rPr>
        <sz val="11"/>
        <color theme="1"/>
        <rFont val="Calibri"/>
        <family val="2"/>
        <charset val="238"/>
        <scheme val="minor"/>
      </rPr>
      <t xml:space="preserve"> zjistěte celkový objem příjmů a výdajů:</t>
    </r>
  </si>
  <si>
    <t>Každý souhrn vytvořte na samostatný list. Nejprve tedy list zkopírujte třikrát.</t>
  </si>
  <si>
    <t>Souhrnem spočítejte součet všech dětí za oddělení.</t>
  </si>
  <si>
    <t xml:space="preserve">Souhrnem zjistěte průměrný plat za jednotlivé funkce. </t>
  </si>
  <si>
    <t>Souhrnem zjistěte počet lidí v oddělení.</t>
  </si>
  <si>
    <r>
      <t xml:space="preserve">Jakou částku si budete moci vybrat za </t>
    </r>
    <r>
      <rPr>
        <b/>
        <sz val="11"/>
        <color indexed="8"/>
        <rFont val="Calibri"/>
        <family val="2"/>
        <charset val="238"/>
      </rPr>
      <t>5 let</t>
    </r>
    <r>
      <rPr>
        <sz val="11"/>
        <color theme="1"/>
        <rFont val="Calibri"/>
        <family val="2"/>
        <charset val="238"/>
        <scheme val="minor"/>
      </rPr>
      <t xml:space="preserve">, pokud uložíte do banky </t>
    </r>
    <r>
      <rPr>
        <b/>
        <sz val="11"/>
        <color indexed="8"/>
        <rFont val="Calibri"/>
        <family val="2"/>
        <charset val="238"/>
      </rPr>
      <t>100 000 Kč</t>
    </r>
    <r>
      <rPr>
        <sz val="11"/>
        <color theme="1"/>
        <rFont val="Calibri"/>
        <family val="2"/>
        <charset val="238"/>
        <scheme val="minor"/>
      </rPr>
      <t xml:space="preserve"> a měsíčně budete pravidelně přidávat </t>
    </r>
    <r>
      <rPr>
        <b/>
        <sz val="11"/>
        <color indexed="8"/>
        <rFont val="Calibri"/>
        <family val="2"/>
        <charset val="238"/>
      </rPr>
      <t>1 000 Kč</t>
    </r>
    <r>
      <rPr>
        <sz val="11"/>
        <color theme="1"/>
        <rFont val="Calibri"/>
        <family val="2"/>
        <charset val="238"/>
        <scheme val="minor"/>
      </rPr>
      <t>.</t>
    </r>
  </si>
  <si>
    <r>
      <t xml:space="preserve">Banka nabízí roční připisování úroků </t>
    </r>
    <r>
      <rPr>
        <b/>
        <sz val="11"/>
        <color indexed="8"/>
        <rFont val="Calibri"/>
        <family val="2"/>
        <charset val="238"/>
      </rPr>
      <t>2,5%</t>
    </r>
    <r>
      <rPr>
        <sz val="11"/>
        <color theme="1"/>
        <rFont val="Calibri"/>
        <family val="2"/>
        <charset val="238"/>
        <scheme val="minor"/>
      </rPr>
      <t>.</t>
    </r>
  </si>
  <si>
    <t>Výsledná částka:</t>
  </si>
  <si>
    <t>pohlaví</t>
  </si>
  <si>
    <t>Datum narození</t>
  </si>
  <si>
    <t>věk</t>
  </si>
  <si>
    <t>Skupina</t>
  </si>
  <si>
    <t>směna</t>
  </si>
  <si>
    <t>kategorie</t>
  </si>
  <si>
    <t>funkce</t>
  </si>
  <si>
    <t>Pokorný</t>
  </si>
  <si>
    <t>muž</t>
  </si>
  <si>
    <t>A</t>
  </si>
  <si>
    <t>D</t>
  </si>
  <si>
    <t>balič</t>
  </si>
  <si>
    <t>Gut</t>
  </si>
  <si>
    <t>Anderj</t>
  </si>
  <si>
    <t>lisař</t>
  </si>
  <si>
    <t>Zeman</t>
  </si>
  <si>
    <t>mleč</t>
  </si>
  <si>
    <t>Hlinka</t>
  </si>
  <si>
    <t>strojvedoucí</t>
  </si>
  <si>
    <t>Škvor</t>
  </si>
  <si>
    <t>Ferdinand</t>
  </si>
  <si>
    <t>1. strojník</t>
  </si>
  <si>
    <t>Plechatý</t>
  </si>
  <si>
    <t>3. strojník</t>
  </si>
  <si>
    <t>Slabihoudová</t>
  </si>
  <si>
    <t>Šárka</t>
  </si>
  <si>
    <t>žena</t>
  </si>
  <si>
    <t>laborant</t>
  </si>
  <si>
    <t>Jirásek</t>
  </si>
  <si>
    <t>Alois</t>
  </si>
  <si>
    <t>T</t>
  </si>
  <si>
    <t>Jouza</t>
  </si>
  <si>
    <t>převinovač</t>
  </si>
  <si>
    <t>Kovářová</t>
  </si>
  <si>
    <t>Markéta</t>
  </si>
  <si>
    <t>2. strojník</t>
  </si>
  <si>
    <t>Daněk</t>
  </si>
  <si>
    <t>B</t>
  </si>
  <si>
    <t>Humr</t>
  </si>
  <si>
    <t>Klement</t>
  </si>
  <si>
    <t>Stránská</t>
  </si>
  <si>
    <t>Eva</t>
  </si>
  <si>
    <t>Palyzová</t>
  </si>
  <si>
    <t>Květoslava</t>
  </si>
  <si>
    <t>Adámek</t>
  </si>
  <si>
    <t>Hamáček</t>
  </si>
  <si>
    <t>Miloš</t>
  </si>
  <si>
    <t>Jizera</t>
  </si>
  <si>
    <t>Císařová</t>
  </si>
  <si>
    <t>Marie</t>
  </si>
  <si>
    <t>Ženatý</t>
  </si>
  <si>
    <t>Filip</t>
  </si>
  <si>
    <t>Jindrák</t>
  </si>
  <si>
    <t>Žoužel</t>
  </si>
  <si>
    <t>C</t>
  </si>
  <si>
    <t>Semerádová</t>
  </si>
  <si>
    <t>Stanislava</t>
  </si>
  <si>
    <t>Hudeček</t>
  </si>
  <si>
    <t>Rybář</t>
  </si>
  <si>
    <t>Tomáš</t>
  </si>
  <si>
    <t>Janeček</t>
  </si>
  <si>
    <t>Zličínský</t>
  </si>
  <si>
    <t>Oskar</t>
  </si>
  <si>
    <t>Rameš</t>
  </si>
  <si>
    <t>Kronová</t>
  </si>
  <si>
    <t>Jana</t>
  </si>
  <si>
    <t>Hašek</t>
  </si>
  <si>
    <t>Antonín</t>
  </si>
  <si>
    <t>Pavlata</t>
  </si>
  <si>
    <t>Gabriel</t>
  </si>
  <si>
    <t>Pasta</t>
  </si>
  <si>
    <t>Rýnská</t>
  </si>
  <si>
    <t>Denisa</t>
  </si>
  <si>
    <t>Pospíchalová</t>
  </si>
  <si>
    <t>Jiřina</t>
  </si>
  <si>
    <t>Komárková</t>
  </si>
  <si>
    <t>Kohák</t>
  </si>
  <si>
    <t>Praveček</t>
  </si>
  <si>
    <t>Miloslav</t>
  </si>
  <si>
    <t>Dvořák</t>
  </si>
  <si>
    <t>Jaroslav</t>
  </si>
  <si>
    <t>Jenišovský</t>
  </si>
  <si>
    <t>Svatopluk</t>
  </si>
  <si>
    <t>Racková</t>
  </si>
  <si>
    <t>Žížalová</t>
  </si>
  <si>
    <t>Hedvika</t>
  </si>
  <si>
    <t>kontrola</t>
  </si>
  <si>
    <t>Brodský</t>
  </si>
  <si>
    <t>Miroslav</t>
  </si>
  <si>
    <t>vedoucí kontroly</t>
  </si>
  <si>
    <t>Králová</t>
  </si>
  <si>
    <t>Vlasta</t>
  </si>
  <si>
    <t>Lamačová</t>
  </si>
  <si>
    <t>Věra</t>
  </si>
  <si>
    <t>technik laboratoře</t>
  </si>
  <si>
    <t>Penál</t>
  </si>
  <si>
    <t>Fučík</t>
  </si>
  <si>
    <t>sklad</t>
  </si>
  <si>
    <t>skladník</t>
  </si>
  <si>
    <t>Nosák</t>
  </si>
  <si>
    <t>Otrava</t>
  </si>
  <si>
    <t>Zima</t>
  </si>
  <si>
    <t>Prokop</t>
  </si>
  <si>
    <t>Veselý</t>
  </si>
  <si>
    <t>řidič</t>
  </si>
  <si>
    <t>Gottwaldová</t>
  </si>
  <si>
    <t>Wagner</t>
  </si>
  <si>
    <t>Ištóková</t>
  </si>
  <si>
    <t>Gizela</t>
  </si>
  <si>
    <t>Myslivec</t>
  </si>
  <si>
    <t>správa</t>
  </si>
  <si>
    <t>ekolog</t>
  </si>
  <si>
    <t>Janáčková</t>
  </si>
  <si>
    <t>Emilie</t>
  </si>
  <si>
    <t>Železný</t>
  </si>
  <si>
    <t>technik</t>
  </si>
  <si>
    <t>Menčík</t>
  </si>
  <si>
    <t>Emil</t>
  </si>
  <si>
    <t>účetní</t>
  </si>
  <si>
    <t>Joubalová</t>
  </si>
  <si>
    <t>Tupý</t>
  </si>
  <si>
    <t>uklízečka</t>
  </si>
  <si>
    <t>Faustová</t>
  </si>
  <si>
    <t>vedoucí marketngu</t>
  </si>
  <si>
    <t>Vytvořte kontingenční tabulku a následně kontingenční graf.</t>
  </si>
  <si>
    <t>Piskořová</t>
  </si>
  <si>
    <t>Opavská</t>
  </si>
  <si>
    <t xml:space="preserve">Pro každou kategorii a jednotlivé směny a pohlaví vypočítejte počty pracovníků. </t>
  </si>
  <si>
    <t>Sovák</t>
  </si>
  <si>
    <t>svačinář</t>
  </si>
  <si>
    <t>technolog</t>
  </si>
  <si>
    <t>Jonák</t>
  </si>
  <si>
    <t>Sekaná</t>
  </si>
  <si>
    <t>Pavla</t>
  </si>
  <si>
    <t>vedoucí střediska</t>
  </si>
  <si>
    <t>Roubal</t>
  </si>
  <si>
    <t>Marian</t>
  </si>
  <si>
    <t>údržba</t>
  </si>
  <si>
    <t>elektrikář</t>
  </si>
  <si>
    <t>Stoklasa</t>
  </si>
  <si>
    <t>Pancíř</t>
  </si>
  <si>
    <t>Typlt</t>
  </si>
  <si>
    <t>Tikal</t>
  </si>
  <si>
    <t>Šipl</t>
  </si>
  <si>
    <t>Vladimír</t>
  </si>
  <si>
    <t>jeřábník</t>
  </si>
  <si>
    <t>Lysá</t>
  </si>
  <si>
    <t>Urban</t>
  </si>
  <si>
    <t>Pospíšek</t>
  </si>
  <si>
    <t>pomocný dělník</t>
  </si>
  <si>
    <t>Hroch</t>
  </si>
  <si>
    <t>Chomáč</t>
  </si>
  <si>
    <t>Dezider</t>
  </si>
  <si>
    <t>Ťavová</t>
  </si>
  <si>
    <t>Simona</t>
  </si>
  <si>
    <t>svačinářka</t>
  </si>
  <si>
    <t>Tomášek</t>
  </si>
  <si>
    <t>Václav</t>
  </si>
  <si>
    <t>svářeč</t>
  </si>
  <si>
    <t>Müller</t>
  </si>
  <si>
    <t>Rak</t>
  </si>
  <si>
    <t>technik elektro</t>
  </si>
  <si>
    <t>Brom</t>
  </si>
  <si>
    <t>Gustav</t>
  </si>
  <si>
    <t>technolog svařování</t>
  </si>
  <si>
    <t>Vysoká</t>
  </si>
  <si>
    <t>Zuzana</t>
  </si>
  <si>
    <t>Pšenica</t>
  </si>
  <si>
    <t>zámečník</t>
  </si>
  <si>
    <t>Horák</t>
  </si>
  <si>
    <t>Táborský</t>
  </si>
  <si>
    <t>Květoslav</t>
  </si>
  <si>
    <t>Klofák</t>
  </si>
  <si>
    <t>mechanik MR</t>
  </si>
  <si>
    <t>Ploutev</t>
  </si>
  <si>
    <t>Vosáhlo</t>
  </si>
  <si>
    <t>Kolínský</t>
  </si>
  <si>
    <t>Řízek</t>
  </si>
  <si>
    <t>Čestmír</t>
  </si>
  <si>
    <t>Epingerová</t>
  </si>
  <si>
    <t>Dana</t>
  </si>
  <si>
    <t>Lysý</t>
  </si>
  <si>
    <t>Hudec</t>
  </si>
  <si>
    <t>technik MR</t>
  </si>
  <si>
    <t>Šimravá</t>
  </si>
  <si>
    <t>Kameš</t>
  </si>
  <si>
    <t>Milouš</t>
  </si>
  <si>
    <t>vedoucí údržby</t>
  </si>
  <si>
    <t>Pospíchal</t>
  </si>
  <si>
    <t>Syslová</t>
  </si>
  <si>
    <t>Marhoul</t>
  </si>
  <si>
    <t>pekař</t>
  </si>
  <si>
    <t>Ceník zboží dle objednaných kusů</t>
  </si>
  <si>
    <t>Sleva</t>
  </si>
  <si>
    <t>Přehled zboží</t>
  </si>
  <si>
    <t>Zákazník</t>
  </si>
  <si>
    <t>Zboží</t>
  </si>
  <si>
    <t>Cena 
za 1 kus</t>
  </si>
  <si>
    <t>Počet kusů</t>
  </si>
  <si>
    <t xml:space="preserve">Cena </t>
  </si>
  <si>
    <t>Cena celkem</t>
  </si>
  <si>
    <t>%</t>
  </si>
  <si>
    <t>Cena</t>
  </si>
  <si>
    <t>Firma ABC</t>
  </si>
  <si>
    <t>kniha</t>
  </si>
  <si>
    <t>Firma AZ</t>
  </si>
  <si>
    <t>židle</t>
  </si>
  <si>
    <t>lampa</t>
  </si>
  <si>
    <t>Firma ZZ</t>
  </si>
  <si>
    <t>kalkulačka</t>
  </si>
  <si>
    <t>blok</t>
  </si>
  <si>
    <t>Firma AA</t>
  </si>
  <si>
    <t>Firma BB</t>
  </si>
  <si>
    <t>Firma CAB</t>
  </si>
  <si>
    <t>Firma CCB</t>
  </si>
  <si>
    <t>Firma AAA</t>
  </si>
  <si>
    <t>Firma BBB</t>
  </si>
  <si>
    <t>Firma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</si>
</sst>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Kč&quot;;\-#,##0.00\ &quot;Kč&quot;"/>
    <numFmt numFmtId="44" formatCode="_-* #,##0.00\ &quot;Kč&quot;_-;\-* #,##0.00\ &quot;Kč&quot;_-;_-* &quot;-&quot;??\ &quot;Kč&quot;_-;_-@_-"/>
    <numFmt numFmtId="164" formatCode="#,##0.00\ &quot;Kč&quot;"/>
  </numFmts>
  <fonts count="15" x14ac:knownFonts="1"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Arial"/>
      <charset val="238"/>
    </font>
    <font>
      <sz val="11"/>
      <name val="Arial CE"/>
      <charset val="238"/>
    </font>
    <font>
      <sz val="12"/>
      <name val="Times New Roman CE"/>
      <charset val="238"/>
    </font>
    <font>
      <sz val="14"/>
      <color indexed="18"/>
      <name val="Arial"/>
      <family val="2"/>
      <charset val="238"/>
    </font>
    <font>
      <sz val="12"/>
      <name val="Arial"/>
      <family val="2"/>
      <charset val="238"/>
    </font>
    <font>
      <u/>
      <sz val="10"/>
      <color indexed="12"/>
      <name val="Arial CE"/>
      <charset val="238"/>
    </font>
    <font>
      <u/>
      <sz val="10"/>
      <color indexed="12"/>
      <name val="Arial"/>
      <family val="2"/>
      <charset val="238"/>
    </font>
    <font>
      <sz val="10"/>
      <name val="Arial CE"/>
      <family val="2"/>
      <charset val="238"/>
    </font>
    <font>
      <sz val="10"/>
      <name val="Arial"/>
      <family val="2"/>
      <charset val="238"/>
    </font>
    <font>
      <b/>
      <sz val="10"/>
      <color indexed="12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gray125">
        <fgColor indexed="44"/>
        <bgColor indexed="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48"/>
      </left>
      <right style="thin">
        <color indexed="48"/>
      </right>
      <top style="double">
        <color indexed="48"/>
      </top>
      <bottom style="double">
        <color indexed="48"/>
      </bottom>
      <diagonal/>
    </border>
    <border>
      <left style="thin">
        <color indexed="48"/>
      </left>
      <right style="double">
        <color indexed="48"/>
      </right>
      <top style="double">
        <color indexed="48"/>
      </top>
      <bottom style="double">
        <color indexed="48"/>
      </bottom>
      <diagonal/>
    </border>
    <border>
      <left style="double">
        <color indexed="48"/>
      </left>
      <right/>
      <top style="double">
        <color indexed="48"/>
      </top>
      <bottom style="double">
        <color indexed="48"/>
      </bottom>
      <diagonal/>
    </border>
    <border>
      <left/>
      <right style="double">
        <color indexed="48"/>
      </right>
      <top style="double">
        <color indexed="48"/>
      </top>
      <bottom style="double">
        <color indexed="48"/>
      </bottom>
      <diagonal/>
    </border>
    <border>
      <left style="double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 style="double">
        <color indexed="48"/>
      </right>
      <top/>
      <bottom style="thin">
        <color indexed="48"/>
      </bottom>
      <diagonal/>
    </border>
    <border>
      <left style="double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8"/>
      </left>
      <right style="double">
        <color indexed="48"/>
      </right>
      <top style="thin">
        <color indexed="48"/>
      </top>
      <bottom style="thin">
        <color indexed="48"/>
      </bottom>
      <diagonal/>
    </border>
    <border>
      <left style="double">
        <color indexed="48"/>
      </left>
      <right style="thin">
        <color indexed="48"/>
      </right>
      <top style="thin">
        <color indexed="48"/>
      </top>
      <bottom style="double">
        <color indexed="48"/>
      </bottom>
      <diagonal/>
    </border>
    <border>
      <left style="thin">
        <color indexed="48"/>
      </left>
      <right style="double">
        <color indexed="48"/>
      </right>
      <top style="thin">
        <color indexed="48"/>
      </top>
      <bottom style="double">
        <color indexed="48"/>
      </bottom>
      <diagonal/>
    </border>
  </borders>
  <cellStyleXfs count="9">
    <xf numFmtId="0" fontId="0" fillId="0" borderId="0"/>
    <xf numFmtId="44" fontId="2" fillId="0" borderId="0" applyFont="0" applyFill="0" applyBorder="0" applyAlignment="0" applyProtection="0"/>
    <xf numFmtId="0" fontId="4" fillId="0" borderId="0"/>
    <xf numFmtId="0" fontId="5" fillId="0" borderId="0"/>
    <xf numFmtId="0" fontId="7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2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 vertical="center" wrapText="1"/>
    </xf>
    <xf numFmtId="44" fontId="2" fillId="0" borderId="0" xfId="1" applyFont="1"/>
    <xf numFmtId="0" fontId="3" fillId="0" borderId="0" xfId="0" applyFont="1"/>
    <xf numFmtId="0" fontId="0" fillId="0" borderId="2" xfId="0" applyBorder="1"/>
    <xf numFmtId="0" fontId="0" fillId="0" borderId="3" xfId="0" applyBorder="1"/>
    <xf numFmtId="14" fontId="0" fillId="0" borderId="0" xfId="0" applyNumberFormat="1"/>
    <xf numFmtId="0" fontId="3" fillId="0" borderId="0" xfId="0" applyFont="1" applyAlignment="1">
      <alignment horizontal="left" vertical="center"/>
    </xf>
    <xf numFmtId="49" fontId="0" fillId="0" borderId="0" xfId="0" applyNumberFormat="1"/>
    <xf numFmtId="7" fontId="2" fillId="0" borderId="0" xfId="1" applyNumberFormat="1" applyFont="1"/>
    <xf numFmtId="1" fontId="0" fillId="0" borderId="0" xfId="0" applyNumberFormat="1"/>
    <xf numFmtId="164" fontId="0" fillId="0" borderId="0" xfId="0" applyNumberFormat="1"/>
    <xf numFmtId="0" fontId="0" fillId="0" borderId="0" xfId="0" applyBorder="1"/>
    <xf numFmtId="14" fontId="0" fillId="0" borderId="0" xfId="0" applyNumberFormat="1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44" fontId="0" fillId="0" borderId="1" xfId="1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/>
    <xf numFmtId="0" fontId="4" fillId="0" borderId="0" xfId="2"/>
    <xf numFmtId="14" fontId="4" fillId="0" borderId="0" xfId="2" applyNumberFormat="1"/>
    <xf numFmtId="1" fontId="4" fillId="0" borderId="0" xfId="2" applyNumberFormat="1"/>
    <xf numFmtId="0" fontId="6" fillId="0" borderId="1" xfId="3" applyFont="1" applyBorder="1" applyAlignment="1">
      <alignment horizontal="left" vertical="top" wrapText="1"/>
    </xf>
    <xf numFmtId="0" fontId="4" fillId="0" borderId="1" xfId="3" applyFont="1" applyBorder="1" applyAlignment="1">
      <alignment horizontal="left" vertical="top" wrapText="1"/>
    </xf>
    <xf numFmtId="0" fontId="8" fillId="0" borderId="0" xfId="4" applyFont="1"/>
    <xf numFmtId="0" fontId="9" fillId="0" borderId="0" xfId="4" applyFont="1"/>
    <xf numFmtId="0" fontId="11" fillId="0" borderId="0" xfId="5" applyFont="1" applyAlignment="1" applyProtection="1"/>
    <xf numFmtId="0" fontId="13" fillId="0" borderId="0" xfId="6" applyFont="1"/>
    <xf numFmtId="0" fontId="13" fillId="0" borderId="0" xfId="3" applyFont="1"/>
    <xf numFmtId="0" fontId="9" fillId="2" borderId="4" xfId="6" applyFont="1" applyFill="1" applyBorder="1" applyAlignment="1">
      <alignment horizontal="center"/>
    </xf>
    <xf numFmtId="0" fontId="9" fillId="2" borderId="5" xfId="6" applyFont="1" applyFill="1" applyBorder="1" applyAlignment="1">
      <alignment horizontal="center"/>
    </xf>
    <xf numFmtId="0" fontId="9" fillId="2" borderId="6" xfId="4" applyFont="1" applyFill="1" applyBorder="1" applyAlignment="1">
      <alignment horizontal="center"/>
    </xf>
    <xf numFmtId="0" fontId="9" fillId="2" borderId="7" xfId="4" applyFont="1" applyFill="1" applyBorder="1" applyAlignment="1">
      <alignment horizontal="center"/>
    </xf>
    <xf numFmtId="0" fontId="14" fillId="0" borderId="0" xfId="6" applyFont="1" applyAlignment="1">
      <alignment horizontal="center" vertical="center" wrapText="1"/>
    </xf>
    <xf numFmtId="0" fontId="14" fillId="0" borderId="8" xfId="6" applyFont="1" applyBorder="1" applyAlignment="1">
      <alignment horizontal="center" vertical="center" wrapText="1"/>
    </xf>
    <xf numFmtId="0" fontId="14" fillId="0" borderId="9" xfId="6" applyFont="1" applyBorder="1" applyAlignment="1">
      <alignment horizontal="center" vertical="center" wrapText="1"/>
    </xf>
    <xf numFmtId="44" fontId="13" fillId="0" borderId="0" xfId="7" applyFont="1"/>
    <xf numFmtId="44" fontId="13" fillId="0" borderId="0" xfId="6" applyNumberFormat="1" applyFont="1"/>
    <xf numFmtId="9" fontId="13" fillId="0" borderId="0" xfId="8" applyFont="1"/>
    <xf numFmtId="0" fontId="13" fillId="0" borderId="10" xfId="4" applyFont="1" applyBorder="1"/>
    <xf numFmtId="9" fontId="13" fillId="0" borderId="11" xfId="8" applyFont="1" applyBorder="1"/>
    <xf numFmtId="0" fontId="13" fillId="0" borderId="10" xfId="6" applyFont="1" applyBorder="1"/>
    <xf numFmtId="164" fontId="13" fillId="0" borderId="11" xfId="4" applyNumberFormat="1" applyFont="1" applyBorder="1"/>
    <xf numFmtId="0" fontId="13" fillId="0" borderId="12" xfId="6" applyFont="1" applyBorder="1"/>
    <xf numFmtId="9" fontId="13" fillId="0" borderId="13" xfId="8" applyFont="1" applyBorder="1"/>
    <xf numFmtId="164" fontId="13" fillId="0" borderId="13" xfId="4" applyNumberFormat="1" applyFont="1" applyBorder="1"/>
  </cellXfs>
  <cellStyles count="9">
    <cellStyle name="Hypertextový odkaz" xfId="5" builtinId="8"/>
    <cellStyle name="Měna" xfId="1" builtinId="4"/>
    <cellStyle name="Měna 2" xfId="7" xr:uid="{90C72172-003A-4394-84B9-762502DCE710}"/>
    <cellStyle name="Normální" xfId="0" builtinId="0"/>
    <cellStyle name="Normální 2" xfId="2" xr:uid="{8261BA5D-BF09-4AEB-86FC-2AE3C772190B}"/>
    <cellStyle name="Normální 3" xfId="3" xr:uid="{E9EB5D7E-5604-4DE0-B5B9-817F111B06D4}"/>
    <cellStyle name="normální_4 Vyhledávání v tabulkách" xfId="4" xr:uid="{0A9C3505-0C9A-4BDD-A4B7-708719FE5743}"/>
    <cellStyle name="normální_List1" xfId="6" xr:uid="{917502EE-5346-4801-ABD3-B05D8B9247E8}"/>
    <cellStyle name="Procenta 2" xfId="8" xr:uid="{52F0FE74-F65E-46AF-9DDC-4C3A521980C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workbookViewId="0">
      <selection activeCell="E4" sqref="E4"/>
    </sheetView>
  </sheetViews>
  <sheetFormatPr defaultRowHeight="15" x14ac:dyDescent="0.25"/>
  <cols>
    <col min="2" max="2" width="10.140625" bestFit="1" customWidth="1"/>
    <col min="3" max="3" width="11.42578125" bestFit="1" customWidth="1"/>
    <col min="4" max="4" width="10.140625" bestFit="1" customWidth="1"/>
    <col min="7" max="7" width="12.85546875" bestFit="1" customWidth="1"/>
    <col min="8" max="10" width="10.140625" bestFit="1" customWidth="1"/>
    <col min="11" max="11" width="10" bestFit="1" customWidth="1"/>
  </cols>
  <sheetData>
    <row r="1" spans="1:16" x14ac:dyDescent="0.25">
      <c r="A1" s="3"/>
    </row>
    <row r="2" spans="1:16" x14ac:dyDescent="0.25">
      <c r="A2" t="s">
        <v>80</v>
      </c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x14ac:dyDescent="0.25"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x14ac:dyDescent="0.25">
      <c r="A4" s="7" t="s">
        <v>77</v>
      </c>
      <c r="B4" s="1"/>
      <c r="C4" s="1"/>
      <c r="D4" s="1"/>
      <c r="E4" s="1"/>
      <c r="F4" s="1"/>
      <c r="G4" s="13"/>
      <c r="H4" s="12"/>
      <c r="I4" s="12"/>
      <c r="J4" s="12"/>
      <c r="K4" s="12"/>
      <c r="L4" s="12"/>
      <c r="M4" s="12"/>
      <c r="N4" s="12"/>
      <c r="O4" s="12"/>
      <c r="P4" s="12"/>
    </row>
    <row r="5" spans="1:16" ht="15.75" thickBot="1" x14ac:dyDescent="0.3">
      <c r="C5" s="8"/>
      <c r="G5" s="13"/>
      <c r="H5" s="12"/>
      <c r="I5" s="12"/>
      <c r="J5" s="12"/>
      <c r="K5" s="12"/>
      <c r="L5" s="12"/>
      <c r="M5" s="12"/>
      <c r="N5" s="12"/>
      <c r="O5" s="12"/>
      <c r="P5" s="12"/>
    </row>
    <row r="6" spans="1:16" x14ac:dyDescent="0.25">
      <c r="A6" t="s">
        <v>78</v>
      </c>
      <c r="B6" s="6">
        <v>40545</v>
      </c>
      <c r="C6" s="11">
        <v>20000</v>
      </c>
      <c r="E6" t="s">
        <v>78</v>
      </c>
      <c r="F6" s="4"/>
      <c r="G6" s="13"/>
      <c r="H6" s="12"/>
      <c r="I6" s="12"/>
      <c r="J6" s="12"/>
      <c r="K6" s="12"/>
      <c r="L6" s="12"/>
      <c r="M6" s="12"/>
      <c r="N6" s="12"/>
      <c r="O6" s="12"/>
      <c r="P6" s="12"/>
    </row>
    <row r="7" spans="1:16" ht="15.75" thickBot="1" x14ac:dyDescent="0.3">
      <c r="A7" t="s">
        <v>79</v>
      </c>
      <c r="B7" s="6">
        <v>40550</v>
      </c>
      <c r="C7" s="11">
        <v>2500</v>
      </c>
      <c r="E7" t="s">
        <v>79</v>
      </c>
      <c r="F7" s="5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1:16" x14ac:dyDescent="0.25">
      <c r="A8" t="s">
        <v>78</v>
      </c>
      <c r="B8" s="6">
        <v>40551</v>
      </c>
      <c r="C8" s="11">
        <v>12000</v>
      </c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1:16" x14ac:dyDescent="0.25">
      <c r="A9" t="s">
        <v>78</v>
      </c>
      <c r="B9" s="6">
        <v>40558</v>
      </c>
      <c r="C9" s="11">
        <v>5000</v>
      </c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x14ac:dyDescent="0.25">
      <c r="A10" t="s">
        <v>79</v>
      </c>
      <c r="B10" s="6">
        <v>40563</v>
      </c>
      <c r="C10" s="11">
        <v>10000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x14ac:dyDescent="0.25">
      <c r="A11" t="s">
        <v>78</v>
      </c>
      <c r="B11" s="6">
        <v>40574</v>
      </c>
      <c r="C11" s="11">
        <v>4500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1:16" x14ac:dyDescent="0.25">
      <c r="A12" t="s">
        <v>79</v>
      </c>
      <c r="B12" s="6">
        <v>40589</v>
      </c>
      <c r="C12" s="11">
        <v>15000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 x14ac:dyDescent="0.25">
      <c r="A13" t="s">
        <v>79</v>
      </c>
      <c r="B13" s="6">
        <v>40596</v>
      </c>
      <c r="C13" s="11">
        <v>10000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 x14ac:dyDescent="0.25">
      <c r="A14" t="s">
        <v>78</v>
      </c>
      <c r="B14" s="6">
        <v>40605</v>
      </c>
      <c r="C14" s="11">
        <v>12500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x14ac:dyDescent="0.25">
      <c r="A15" t="s">
        <v>79</v>
      </c>
      <c r="B15" s="6">
        <v>40607</v>
      </c>
      <c r="C15" s="11">
        <v>1400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6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1:16" x14ac:dyDescent="0.25">
      <c r="H21" s="12"/>
      <c r="I21" s="12"/>
      <c r="J21" s="12"/>
      <c r="K21" s="12"/>
    </row>
    <row r="22" spans="1:16" x14ac:dyDescent="0.25">
      <c r="H22" s="12"/>
      <c r="I22" s="12"/>
      <c r="J22" s="12"/>
      <c r="K22" s="12"/>
    </row>
    <row r="23" spans="1:16" x14ac:dyDescent="0.25">
      <c r="H23" s="13"/>
      <c r="I23" s="13"/>
      <c r="J23" s="13"/>
      <c r="K23" s="12"/>
    </row>
    <row r="24" spans="1:16" x14ac:dyDescent="0.25">
      <c r="H24" s="13"/>
      <c r="I24" s="13"/>
      <c r="J24" s="13"/>
      <c r="K24" s="12"/>
    </row>
    <row r="25" spans="1:16" x14ac:dyDescent="0.25">
      <c r="H25" s="13"/>
      <c r="I25" s="13"/>
      <c r="J25" s="13"/>
      <c r="K25" s="12"/>
    </row>
    <row r="26" spans="1:16" x14ac:dyDescent="0.25">
      <c r="H26" s="12"/>
      <c r="I26" s="12"/>
      <c r="J26" s="12"/>
      <c r="K26" s="12"/>
    </row>
    <row r="27" spans="1:16" x14ac:dyDescent="0.25">
      <c r="H27" s="12"/>
      <c r="I27" s="12"/>
      <c r="J27" s="12"/>
      <c r="K27" s="12"/>
    </row>
    <row r="28" spans="1:16" x14ac:dyDescent="0.25">
      <c r="H28" s="12"/>
      <c r="I28" s="12"/>
      <c r="J28" s="12"/>
      <c r="K28" s="12"/>
    </row>
    <row r="29" spans="1:16" x14ac:dyDescent="0.25">
      <c r="H29" s="12"/>
      <c r="I29" s="12"/>
      <c r="J29" s="12"/>
      <c r="K29" s="12"/>
    </row>
    <row r="30" spans="1:16" x14ac:dyDescent="0.25">
      <c r="H30" s="12"/>
      <c r="I30" s="12"/>
      <c r="J30" s="12"/>
      <c r="K30" s="12"/>
    </row>
    <row r="31" spans="1:16" x14ac:dyDescent="0.25">
      <c r="H31" s="12"/>
      <c r="I31" s="12"/>
      <c r="J31" s="12"/>
      <c r="K31" s="12"/>
    </row>
    <row r="32" spans="1:16" x14ac:dyDescent="0.25">
      <c r="H32" s="12"/>
      <c r="I32" s="12"/>
      <c r="J32" s="12"/>
      <c r="K32" s="12"/>
    </row>
    <row r="33" spans="1:12" x14ac:dyDescent="0.25">
      <c r="H33" s="12"/>
      <c r="I33" s="12"/>
      <c r="J33" s="12"/>
      <c r="K33" s="12"/>
    </row>
    <row r="34" spans="1:12" x14ac:dyDescent="0.25">
      <c r="H34" s="12"/>
      <c r="I34" s="12"/>
      <c r="J34" s="12"/>
      <c r="K34" s="12"/>
    </row>
    <row r="35" spans="1:12" x14ac:dyDescent="0.25">
      <c r="H35" s="12"/>
      <c r="I35" s="12"/>
      <c r="J35" s="12"/>
      <c r="K35" s="12"/>
    </row>
    <row r="36" spans="1:12" x14ac:dyDescent="0.25">
      <c r="H36" s="12"/>
      <c r="I36" s="12"/>
      <c r="J36" s="12"/>
      <c r="K36" s="12"/>
    </row>
    <row r="37" spans="1:12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spans="1:12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spans="1:12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5" spans="1:12" x14ac:dyDescent="0.25">
      <c r="G45" s="1"/>
      <c r="H45" s="1"/>
      <c r="I45" s="1"/>
    </row>
    <row r="46" spans="1:12" x14ac:dyDescent="0.25">
      <c r="G46" s="9"/>
      <c r="I46" s="10"/>
      <c r="K46" s="8"/>
      <c r="L46" s="11"/>
    </row>
    <row r="47" spans="1:12" x14ac:dyDescent="0.25">
      <c r="K47" s="8"/>
      <c r="L47" s="11"/>
    </row>
    <row r="48" spans="1:12" x14ac:dyDescent="0.25">
      <c r="K48" s="8"/>
      <c r="L48" s="11"/>
    </row>
    <row r="49" spans="11:12" x14ac:dyDescent="0.25">
      <c r="K49" s="8"/>
      <c r="L49" s="11"/>
    </row>
    <row r="50" spans="11:12" x14ac:dyDescent="0.25">
      <c r="K50" s="8"/>
      <c r="L50" s="11"/>
    </row>
    <row r="51" spans="11:12" x14ac:dyDescent="0.25">
      <c r="K51" s="8"/>
      <c r="L51" s="11"/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workbookViewId="0">
      <selection activeCell="K11" sqref="K11:P12"/>
    </sheetView>
  </sheetViews>
  <sheetFormatPr defaultRowHeight="15" x14ac:dyDescent="0.25"/>
  <cols>
    <col min="3" max="3" width="11.42578125" customWidth="1"/>
    <col min="6" max="6" width="16.85546875" customWidth="1"/>
    <col min="7" max="7" width="13.28515625" customWidth="1"/>
  </cols>
  <sheetData>
    <row r="1" spans="1:1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</v>
      </c>
      <c r="G1" s="1" t="s">
        <v>66</v>
      </c>
      <c r="H1" s="1" t="s">
        <v>5</v>
      </c>
      <c r="I1" s="1" t="s">
        <v>6</v>
      </c>
    </row>
    <row r="2" spans="1:16" x14ac:dyDescent="0.25">
      <c r="A2" t="s">
        <v>7</v>
      </c>
      <c r="B2" t="s">
        <v>27</v>
      </c>
      <c r="C2" t="s">
        <v>56</v>
      </c>
      <c r="D2">
        <v>1957</v>
      </c>
      <c r="E2" t="s">
        <v>62</v>
      </c>
      <c r="F2" t="s">
        <v>69</v>
      </c>
      <c r="G2" s="2">
        <v>21000</v>
      </c>
      <c r="H2">
        <v>0</v>
      </c>
      <c r="I2">
        <v>35</v>
      </c>
    </row>
    <row r="3" spans="1:16" x14ac:dyDescent="0.25">
      <c r="A3" t="s">
        <v>8</v>
      </c>
      <c r="B3" t="s">
        <v>28</v>
      </c>
      <c r="C3" t="s">
        <v>57</v>
      </c>
      <c r="D3">
        <v>1968</v>
      </c>
      <c r="E3" t="s">
        <v>63</v>
      </c>
      <c r="F3" t="s">
        <v>70</v>
      </c>
      <c r="G3" s="2">
        <v>18000</v>
      </c>
      <c r="H3">
        <v>2</v>
      </c>
      <c r="I3">
        <v>25</v>
      </c>
    </row>
    <row r="4" spans="1:16" x14ac:dyDescent="0.25">
      <c r="A4" t="s">
        <v>9</v>
      </c>
      <c r="B4" t="s">
        <v>29</v>
      </c>
      <c r="C4" t="s">
        <v>58</v>
      </c>
      <c r="D4">
        <v>1656</v>
      </c>
      <c r="E4" t="s">
        <v>63</v>
      </c>
      <c r="F4" t="s">
        <v>70</v>
      </c>
      <c r="G4" s="2">
        <v>18500</v>
      </c>
      <c r="H4">
        <v>1</v>
      </c>
      <c r="I4">
        <v>36</v>
      </c>
    </row>
    <row r="5" spans="1:16" x14ac:dyDescent="0.25">
      <c r="A5" t="s">
        <v>10</v>
      </c>
      <c r="B5" t="s">
        <v>30</v>
      </c>
      <c r="C5" t="s">
        <v>56</v>
      </c>
      <c r="D5">
        <v>1978</v>
      </c>
      <c r="E5" t="s">
        <v>64</v>
      </c>
      <c r="F5" t="s">
        <v>71</v>
      </c>
      <c r="G5" s="2">
        <v>12000</v>
      </c>
      <c r="H5">
        <v>2</v>
      </c>
      <c r="I5">
        <v>14</v>
      </c>
    </row>
    <row r="6" spans="1:16" x14ac:dyDescent="0.25">
      <c r="A6" t="s">
        <v>11</v>
      </c>
      <c r="B6" t="s">
        <v>31</v>
      </c>
      <c r="C6" t="s">
        <v>58</v>
      </c>
      <c r="D6">
        <v>1985</v>
      </c>
      <c r="E6" t="s">
        <v>63</v>
      </c>
      <c r="F6" t="s">
        <v>71</v>
      </c>
      <c r="G6" s="2">
        <v>12700</v>
      </c>
      <c r="H6">
        <v>0</v>
      </c>
      <c r="I6">
        <v>5</v>
      </c>
    </row>
    <row r="7" spans="1:16" x14ac:dyDescent="0.25">
      <c r="A7" t="s">
        <v>12</v>
      </c>
      <c r="B7" t="s">
        <v>32</v>
      </c>
      <c r="C7" t="s">
        <v>59</v>
      </c>
      <c r="D7">
        <v>1984</v>
      </c>
      <c r="E7" t="s">
        <v>63</v>
      </c>
      <c r="F7" t="s">
        <v>71</v>
      </c>
      <c r="G7" s="2">
        <v>12100</v>
      </c>
      <c r="H7">
        <v>0</v>
      </c>
      <c r="I7">
        <v>5</v>
      </c>
    </row>
    <row r="8" spans="1:16" x14ac:dyDescent="0.25">
      <c r="A8" t="s">
        <v>13</v>
      </c>
      <c r="B8" t="s">
        <v>28</v>
      </c>
      <c r="C8" t="s">
        <v>58</v>
      </c>
      <c r="D8">
        <v>1967</v>
      </c>
      <c r="E8" t="s">
        <v>63</v>
      </c>
      <c r="F8" t="s">
        <v>71</v>
      </c>
      <c r="G8" s="2">
        <v>13000</v>
      </c>
      <c r="H8">
        <v>0</v>
      </c>
      <c r="I8">
        <v>26</v>
      </c>
      <c r="K8" s="15" t="s">
        <v>76</v>
      </c>
      <c r="L8" s="15"/>
      <c r="M8" s="15"/>
      <c r="N8" s="15"/>
      <c r="O8" s="15"/>
      <c r="P8" s="15"/>
    </row>
    <row r="9" spans="1:16" ht="15" customHeight="1" x14ac:dyDescent="0.25">
      <c r="A9" t="s">
        <v>14</v>
      </c>
      <c r="B9" t="s">
        <v>33</v>
      </c>
      <c r="C9" t="s">
        <v>57</v>
      </c>
      <c r="D9">
        <v>1968</v>
      </c>
      <c r="E9" t="s">
        <v>63</v>
      </c>
      <c r="F9" t="s">
        <v>71</v>
      </c>
      <c r="G9" s="2">
        <v>12800</v>
      </c>
      <c r="H9">
        <v>1</v>
      </c>
      <c r="I9">
        <v>25</v>
      </c>
      <c r="K9" s="14" t="s">
        <v>73</v>
      </c>
      <c r="L9" s="14"/>
      <c r="M9" s="14"/>
      <c r="N9" s="14"/>
      <c r="O9" s="14"/>
      <c r="P9" s="14"/>
    </row>
    <row r="10" spans="1:16" x14ac:dyDescent="0.25">
      <c r="A10" t="s">
        <v>15</v>
      </c>
      <c r="B10" t="s">
        <v>34</v>
      </c>
      <c r="C10" t="s">
        <v>58</v>
      </c>
      <c r="D10">
        <v>1978</v>
      </c>
      <c r="E10" t="s">
        <v>62</v>
      </c>
      <c r="F10" t="s">
        <v>69</v>
      </c>
      <c r="G10" s="2">
        <v>20500</v>
      </c>
      <c r="H10">
        <v>2</v>
      </c>
      <c r="I10">
        <v>10</v>
      </c>
      <c r="K10" s="14"/>
      <c r="L10" s="14"/>
      <c r="M10" s="14"/>
      <c r="N10" s="14"/>
      <c r="O10" s="14"/>
      <c r="P10" s="14"/>
    </row>
    <row r="11" spans="1:16" x14ac:dyDescent="0.25">
      <c r="A11" t="s">
        <v>8</v>
      </c>
      <c r="B11" t="s">
        <v>35</v>
      </c>
      <c r="C11" t="s">
        <v>59</v>
      </c>
      <c r="D11">
        <v>1985</v>
      </c>
      <c r="E11" t="s">
        <v>62</v>
      </c>
      <c r="F11" t="s">
        <v>69</v>
      </c>
      <c r="G11" s="2">
        <v>22000</v>
      </c>
      <c r="H11">
        <v>2</v>
      </c>
      <c r="I11">
        <v>2</v>
      </c>
      <c r="K11" s="14" t="s">
        <v>74</v>
      </c>
      <c r="L11" s="14"/>
      <c r="M11" s="14"/>
      <c r="N11" s="14"/>
      <c r="O11" s="14"/>
      <c r="P11" s="14"/>
    </row>
    <row r="12" spans="1:16" x14ac:dyDescent="0.25">
      <c r="A12" t="s">
        <v>9</v>
      </c>
      <c r="B12" t="s">
        <v>36</v>
      </c>
      <c r="C12" t="s">
        <v>60</v>
      </c>
      <c r="D12">
        <v>1968</v>
      </c>
      <c r="E12" t="s">
        <v>63</v>
      </c>
      <c r="F12" t="s">
        <v>69</v>
      </c>
      <c r="G12" s="2">
        <v>21500</v>
      </c>
      <c r="H12">
        <v>0</v>
      </c>
      <c r="I12">
        <v>25</v>
      </c>
      <c r="K12" s="14"/>
      <c r="L12" s="14"/>
      <c r="M12" s="14"/>
      <c r="N12" s="14"/>
      <c r="O12" s="14"/>
      <c r="P12" s="14"/>
    </row>
    <row r="13" spans="1:16" x14ac:dyDescent="0.25">
      <c r="A13" t="s">
        <v>10</v>
      </c>
      <c r="B13" t="s">
        <v>37</v>
      </c>
      <c r="C13" t="s">
        <v>60</v>
      </c>
      <c r="D13">
        <v>1969</v>
      </c>
      <c r="E13" t="s">
        <v>64</v>
      </c>
      <c r="F13" t="s">
        <v>71</v>
      </c>
      <c r="G13" s="2">
        <v>14500</v>
      </c>
      <c r="H13">
        <v>3</v>
      </c>
      <c r="I13">
        <v>26</v>
      </c>
      <c r="K13" s="14" t="s">
        <v>75</v>
      </c>
      <c r="L13" s="14"/>
      <c r="M13" s="14"/>
      <c r="N13" s="14"/>
      <c r="O13" s="14"/>
      <c r="P13" s="14"/>
    </row>
    <row r="14" spans="1:16" x14ac:dyDescent="0.25">
      <c r="A14" t="s">
        <v>16</v>
      </c>
      <c r="B14" t="s">
        <v>38</v>
      </c>
      <c r="C14" t="s">
        <v>59</v>
      </c>
      <c r="D14">
        <v>1970</v>
      </c>
      <c r="E14" t="s">
        <v>63</v>
      </c>
      <c r="F14" t="s">
        <v>71</v>
      </c>
      <c r="G14" s="2">
        <v>13500</v>
      </c>
      <c r="H14">
        <v>0</v>
      </c>
      <c r="I14">
        <v>20</v>
      </c>
      <c r="K14" s="14"/>
      <c r="L14" s="14"/>
      <c r="M14" s="14"/>
      <c r="N14" s="14"/>
      <c r="O14" s="14"/>
      <c r="P14" s="14"/>
    </row>
    <row r="15" spans="1:16" x14ac:dyDescent="0.25">
      <c r="A15" t="s">
        <v>17</v>
      </c>
      <c r="B15" t="s">
        <v>39</v>
      </c>
      <c r="C15" t="s">
        <v>58</v>
      </c>
      <c r="D15">
        <v>1982</v>
      </c>
      <c r="E15" t="s">
        <v>63</v>
      </c>
      <c r="F15" t="s">
        <v>71</v>
      </c>
      <c r="G15" s="2">
        <v>14000</v>
      </c>
      <c r="H15">
        <v>1</v>
      </c>
      <c r="I15">
        <v>8</v>
      </c>
    </row>
    <row r="16" spans="1:16" x14ac:dyDescent="0.25">
      <c r="A16" t="s">
        <v>13</v>
      </c>
      <c r="B16" t="s">
        <v>40</v>
      </c>
      <c r="C16" t="s">
        <v>57</v>
      </c>
      <c r="D16">
        <v>1983</v>
      </c>
      <c r="E16" t="s">
        <v>63</v>
      </c>
      <c r="F16" t="s">
        <v>71</v>
      </c>
      <c r="G16" s="2">
        <v>13800</v>
      </c>
      <c r="H16">
        <v>0</v>
      </c>
      <c r="I16">
        <v>11</v>
      </c>
    </row>
    <row r="17" spans="1:9" x14ac:dyDescent="0.25">
      <c r="A17" t="s">
        <v>14</v>
      </c>
      <c r="B17" t="s">
        <v>41</v>
      </c>
      <c r="C17" t="s">
        <v>56</v>
      </c>
      <c r="D17">
        <v>1952</v>
      </c>
      <c r="E17" t="s">
        <v>63</v>
      </c>
      <c r="F17" t="s">
        <v>72</v>
      </c>
      <c r="G17" s="2">
        <v>19500</v>
      </c>
      <c r="H17">
        <v>0</v>
      </c>
      <c r="I17">
        <v>38</v>
      </c>
    </row>
    <row r="18" spans="1:9" x14ac:dyDescent="0.25">
      <c r="A18" t="s">
        <v>15</v>
      </c>
      <c r="B18" t="s">
        <v>42</v>
      </c>
      <c r="C18" t="s">
        <v>58</v>
      </c>
      <c r="D18">
        <v>1984</v>
      </c>
      <c r="E18" t="s">
        <v>63</v>
      </c>
      <c r="F18" t="s">
        <v>71</v>
      </c>
      <c r="G18" s="2">
        <v>13200</v>
      </c>
      <c r="H18">
        <v>0</v>
      </c>
      <c r="I18">
        <v>5</v>
      </c>
    </row>
    <row r="19" spans="1:9" x14ac:dyDescent="0.25">
      <c r="A19" t="s">
        <v>18</v>
      </c>
      <c r="B19" t="s">
        <v>43</v>
      </c>
      <c r="C19" t="s">
        <v>56</v>
      </c>
      <c r="D19">
        <v>1986</v>
      </c>
      <c r="E19" t="s">
        <v>62</v>
      </c>
      <c r="F19" t="s">
        <v>70</v>
      </c>
      <c r="G19" s="2">
        <v>18200</v>
      </c>
      <c r="H19">
        <v>1</v>
      </c>
      <c r="I19">
        <v>1</v>
      </c>
    </row>
    <row r="20" spans="1:9" x14ac:dyDescent="0.25">
      <c r="A20" t="s">
        <v>7</v>
      </c>
      <c r="B20" t="s">
        <v>44</v>
      </c>
      <c r="C20" t="s">
        <v>61</v>
      </c>
      <c r="D20">
        <v>1955</v>
      </c>
      <c r="E20" t="s">
        <v>62</v>
      </c>
      <c r="F20" t="s">
        <v>67</v>
      </c>
      <c r="G20" s="2">
        <v>35000</v>
      </c>
      <c r="H20">
        <v>2</v>
      </c>
      <c r="I20">
        <v>36</v>
      </c>
    </row>
    <row r="21" spans="1:9" x14ac:dyDescent="0.25">
      <c r="A21" t="s">
        <v>19</v>
      </c>
      <c r="B21" t="s">
        <v>45</v>
      </c>
      <c r="C21" t="s">
        <v>60</v>
      </c>
      <c r="D21">
        <v>1990</v>
      </c>
      <c r="E21" t="s">
        <v>64</v>
      </c>
      <c r="F21" t="s">
        <v>71</v>
      </c>
      <c r="G21" s="2">
        <v>14200</v>
      </c>
      <c r="H21">
        <v>0</v>
      </c>
      <c r="I21">
        <v>3</v>
      </c>
    </row>
    <row r="22" spans="1:9" x14ac:dyDescent="0.25">
      <c r="A22" t="s">
        <v>15</v>
      </c>
      <c r="B22" t="s">
        <v>46</v>
      </c>
      <c r="C22" t="s">
        <v>59</v>
      </c>
      <c r="D22">
        <v>1987</v>
      </c>
      <c r="E22" t="s">
        <v>63</v>
      </c>
      <c r="F22" t="s">
        <v>72</v>
      </c>
      <c r="G22" s="2">
        <v>19200</v>
      </c>
      <c r="H22">
        <v>0</v>
      </c>
      <c r="I22">
        <v>4</v>
      </c>
    </row>
    <row r="23" spans="1:9" x14ac:dyDescent="0.25">
      <c r="A23" t="s">
        <v>20</v>
      </c>
      <c r="B23" t="s">
        <v>47</v>
      </c>
      <c r="C23" t="s">
        <v>57</v>
      </c>
      <c r="D23">
        <v>1985</v>
      </c>
      <c r="E23" t="s">
        <v>63</v>
      </c>
      <c r="F23" t="s">
        <v>72</v>
      </c>
      <c r="G23" s="2">
        <v>19700</v>
      </c>
      <c r="H23">
        <v>1</v>
      </c>
      <c r="I23">
        <v>5</v>
      </c>
    </row>
    <row r="24" spans="1:9" x14ac:dyDescent="0.25">
      <c r="A24" t="s">
        <v>21</v>
      </c>
      <c r="B24" t="s">
        <v>48</v>
      </c>
      <c r="C24" t="s">
        <v>58</v>
      </c>
      <c r="D24">
        <v>1965</v>
      </c>
      <c r="E24" t="s">
        <v>63</v>
      </c>
      <c r="F24" t="s">
        <v>72</v>
      </c>
      <c r="G24" s="2">
        <v>19500</v>
      </c>
      <c r="H24">
        <v>1</v>
      </c>
      <c r="I24">
        <v>27</v>
      </c>
    </row>
    <row r="25" spans="1:9" x14ac:dyDescent="0.25">
      <c r="A25" t="s">
        <v>22</v>
      </c>
      <c r="B25" t="s">
        <v>49</v>
      </c>
      <c r="C25" t="s">
        <v>61</v>
      </c>
      <c r="D25">
        <v>1978</v>
      </c>
      <c r="E25" t="s">
        <v>63</v>
      </c>
      <c r="F25" t="s">
        <v>68</v>
      </c>
      <c r="G25" s="2">
        <v>15000</v>
      </c>
      <c r="H25">
        <v>2</v>
      </c>
      <c r="I25">
        <v>12</v>
      </c>
    </row>
    <row r="26" spans="1:9" x14ac:dyDescent="0.25">
      <c r="A26" t="s">
        <v>23</v>
      </c>
      <c r="B26" t="s">
        <v>50</v>
      </c>
      <c r="C26" t="s">
        <v>58</v>
      </c>
      <c r="D26">
        <v>1982</v>
      </c>
      <c r="E26" t="s">
        <v>64</v>
      </c>
      <c r="F26" t="s">
        <v>71</v>
      </c>
      <c r="G26" s="2">
        <v>12500</v>
      </c>
      <c r="H26">
        <v>0</v>
      </c>
      <c r="I26">
        <v>10</v>
      </c>
    </row>
    <row r="27" spans="1:9" x14ac:dyDescent="0.25">
      <c r="A27" t="s">
        <v>16</v>
      </c>
      <c r="B27" t="s">
        <v>51</v>
      </c>
      <c r="C27" t="s">
        <v>56</v>
      </c>
      <c r="D27">
        <v>1980</v>
      </c>
      <c r="E27" t="s">
        <v>63</v>
      </c>
      <c r="F27" t="s">
        <v>70</v>
      </c>
      <c r="G27" s="2">
        <v>17600</v>
      </c>
      <c r="H27">
        <v>0</v>
      </c>
      <c r="I27">
        <v>8</v>
      </c>
    </row>
    <row r="28" spans="1:9" x14ac:dyDescent="0.25">
      <c r="A28" t="s">
        <v>24</v>
      </c>
      <c r="B28" t="s">
        <v>52</v>
      </c>
      <c r="C28" t="s">
        <v>57</v>
      </c>
      <c r="D28">
        <v>1967</v>
      </c>
      <c r="E28" t="s">
        <v>62</v>
      </c>
      <c r="F28" t="s">
        <v>69</v>
      </c>
      <c r="G28" s="2">
        <v>20200</v>
      </c>
      <c r="H28">
        <v>2</v>
      </c>
      <c r="I28">
        <v>20</v>
      </c>
    </row>
    <row r="29" spans="1:9" x14ac:dyDescent="0.25">
      <c r="A29" t="s">
        <v>25</v>
      </c>
      <c r="B29" t="s">
        <v>53</v>
      </c>
      <c r="C29" t="s">
        <v>58</v>
      </c>
      <c r="D29">
        <v>1975</v>
      </c>
      <c r="E29" t="s">
        <v>63</v>
      </c>
      <c r="F29" t="s">
        <v>71</v>
      </c>
      <c r="G29" s="2">
        <v>13500</v>
      </c>
      <c r="H29">
        <v>3</v>
      </c>
      <c r="I29">
        <v>17</v>
      </c>
    </row>
    <row r="30" spans="1:9" x14ac:dyDescent="0.25">
      <c r="A30" t="s">
        <v>15</v>
      </c>
      <c r="B30" t="s">
        <v>54</v>
      </c>
      <c r="C30" t="s">
        <v>58</v>
      </c>
      <c r="D30">
        <v>1972</v>
      </c>
      <c r="E30" t="s">
        <v>63</v>
      </c>
      <c r="F30" t="s">
        <v>71</v>
      </c>
      <c r="G30" s="2">
        <v>13200</v>
      </c>
      <c r="H30">
        <v>1</v>
      </c>
      <c r="I30">
        <v>20</v>
      </c>
    </row>
    <row r="31" spans="1:9" x14ac:dyDescent="0.25">
      <c r="A31" t="s">
        <v>26</v>
      </c>
      <c r="B31" t="s">
        <v>55</v>
      </c>
      <c r="C31" t="s">
        <v>59</v>
      </c>
      <c r="D31">
        <v>1980</v>
      </c>
      <c r="E31" t="s">
        <v>63</v>
      </c>
      <c r="F31" t="s">
        <v>70</v>
      </c>
      <c r="G31" s="2">
        <v>18500</v>
      </c>
      <c r="H31">
        <v>0</v>
      </c>
      <c r="I31">
        <v>10</v>
      </c>
    </row>
  </sheetData>
  <mergeCells count="4">
    <mergeCell ref="K9:P10"/>
    <mergeCell ref="K11:P12"/>
    <mergeCell ref="K13:P14"/>
    <mergeCell ref="K8:P8"/>
  </mergeCells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67B91-0DAF-4938-A6EF-0ED677B28C8A}">
  <dimension ref="A1:O31"/>
  <sheetViews>
    <sheetView workbookViewId="0">
      <selection activeCell="L18" sqref="L18"/>
    </sheetView>
  </sheetViews>
  <sheetFormatPr defaultRowHeight="15" x14ac:dyDescent="0.25"/>
  <cols>
    <col min="3" max="3" width="11.42578125" customWidth="1"/>
    <col min="6" max="6" width="16.85546875" customWidth="1"/>
    <col min="7" max="7" width="13.28515625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</v>
      </c>
      <c r="G1" s="1" t="s">
        <v>66</v>
      </c>
      <c r="H1" s="1" t="s">
        <v>5</v>
      </c>
      <c r="I1" s="1" t="s">
        <v>6</v>
      </c>
    </row>
    <row r="2" spans="1:15" x14ac:dyDescent="0.25">
      <c r="A2" t="s">
        <v>7</v>
      </c>
      <c r="B2" t="s">
        <v>27</v>
      </c>
      <c r="C2" t="s">
        <v>56</v>
      </c>
      <c r="D2">
        <v>1957</v>
      </c>
      <c r="E2" t="s">
        <v>62</v>
      </c>
      <c r="F2" t="s">
        <v>69</v>
      </c>
      <c r="G2" s="2">
        <v>21000</v>
      </c>
      <c r="H2">
        <v>0</v>
      </c>
      <c r="I2">
        <v>35</v>
      </c>
    </row>
    <row r="3" spans="1:15" x14ac:dyDescent="0.25">
      <c r="A3" t="s">
        <v>8</v>
      </c>
      <c r="B3" t="s">
        <v>28</v>
      </c>
      <c r="C3" t="s">
        <v>57</v>
      </c>
      <c r="D3">
        <v>1968</v>
      </c>
      <c r="E3" t="s">
        <v>63</v>
      </c>
      <c r="F3" t="s">
        <v>70</v>
      </c>
      <c r="G3" s="2">
        <v>18000</v>
      </c>
      <c r="H3">
        <v>2</v>
      </c>
      <c r="I3">
        <v>25</v>
      </c>
    </row>
    <row r="4" spans="1:15" x14ac:dyDescent="0.25">
      <c r="A4" t="s">
        <v>9</v>
      </c>
      <c r="B4" t="s">
        <v>29</v>
      </c>
      <c r="C4" t="s">
        <v>58</v>
      </c>
      <c r="D4">
        <v>1656</v>
      </c>
      <c r="E4" t="s">
        <v>63</v>
      </c>
      <c r="F4" t="s">
        <v>70</v>
      </c>
      <c r="G4" s="2">
        <v>18500</v>
      </c>
      <c r="H4">
        <v>1</v>
      </c>
      <c r="I4">
        <v>36</v>
      </c>
    </row>
    <row r="5" spans="1:15" x14ac:dyDescent="0.25">
      <c r="A5" t="s">
        <v>10</v>
      </c>
      <c r="B5" t="s">
        <v>30</v>
      </c>
      <c r="C5" t="s">
        <v>56</v>
      </c>
      <c r="D5">
        <v>1978</v>
      </c>
      <c r="E5" t="s">
        <v>64</v>
      </c>
      <c r="F5" t="s">
        <v>71</v>
      </c>
      <c r="G5" s="2">
        <v>12000</v>
      </c>
      <c r="H5">
        <v>2</v>
      </c>
      <c r="I5">
        <v>14</v>
      </c>
    </row>
    <row r="6" spans="1:15" x14ac:dyDescent="0.25">
      <c r="A6" t="s">
        <v>11</v>
      </c>
      <c r="B6" t="s">
        <v>31</v>
      </c>
      <c r="C6" t="s">
        <v>58</v>
      </c>
      <c r="D6">
        <v>1985</v>
      </c>
      <c r="E6" t="s">
        <v>63</v>
      </c>
      <c r="F6" t="s">
        <v>71</v>
      </c>
      <c r="G6" s="2">
        <v>12700</v>
      </c>
      <c r="H6">
        <v>0</v>
      </c>
      <c r="I6">
        <v>5</v>
      </c>
    </row>
    <row r="7" spans="1:15" x14ac:dyDescent="0.25">
      <c r="A7" t="s">
        <v>12</v>
      </c>
      <c r="B7" t="s">
        <v>32</v>
      </c>
      <c r="C7" t="s">
        <v>59</v>
      </c>
      <c r="D7">
        <v>1984</v>
      </c>
      <c r="E7" t="s">
        <v>63</v>
      </c>
      <c r="F7" t="s">
        <v>71</v>
      </c>
      <c r="G7" s="2">
        <v>12100</v>
      </c>
      <c r="H7">
        <v>0</v>
      </c>
      <c r="I7">
        <v>5</v>
      </c>
    </row>
    <row r="8" spans="1:15" x14ac:dyDescent="0.25">
      <c r="A8" t="s">
        <v>13</v>
      </c>
      <c r="B8" t="s">
        <v>28</v>
      </c>
      <c r="C8" t="s">
        <v>58</v>
      </c>
      <c r="D8">
        <v>1967</v>
      </c>
      <c r="E8" t="s">
        <v>63</v>
      </c>
      <c r="F8" t="s">
        <v>71</v>
      </c>
      <c r="G8" s="2">
        <v>13000</v>
      </c>
      <c r="H8">
        <v>0</v>
      </c>
      <c r="I8">
        <v>26</v>
      </c>
    </row>
    <row r="9" spans="1:15" x14ac:dyDescent="0.25">
      <c r="A9" t="s">
        <v>14</v>
      </c>
      <c r="B9" t="s">
        <v>33</v>
      </c>
      <c r="C9" t="s">
        <v>57</v>
      </c>
      <c r="D9">
        <v>1968</v>
      </c>
      <c r="E9" t="s">
        <v>63</v>
      </c>
      <c r="F9" t="s">
        <v>71</v>
      </c>
      <c r="G9" s="2">
        <v>12800</v>
      </c>
      <c r="H9">
        <v>1</v>
      </c>
      <c r="I9">
        <v>25</v>
      </c>
      <c r="L9" s="16" t="s">
        <v>81</v>
      </c>
      <c r="M9" s="16"/>
      <c r="N9" s="16"/>
      <c r="O9" s="16"/>
    </row>
    <row r="10" spans="1:15" x14ac:dyDescent="0.25">
      <c r="A10" t="s">
        <v>15</v>
      </c>
      <c r="B10" t="s">
        <v>34</v>
      </c>
      <c r="C10" t="s">
        <v>58</v>
      </c>
      <c r="D10">
        <v>1978</v>
      </c>
      <c r="E10" t="s">
        <v>62</v>
      </c>
      <c r="F10" t="s">
        <v>69</v>
      </c>
      <c r="G10" s="2">
        <v>20500</v>
      </c>
      <c r="H10">
        <v>2</v>
      </c>
      <c r="I10">
        <v>10</v>
      </c>
      <c r="L10" s="16"/>
      <c r="M10" s="16"/>
      <c r="N10" s="16"/>
      <c r="O10" s="16"/>
    </row>
    <row r="11" spans="1:15" x14ac:dyDescent="0.25">
      <c r="A11" t="s">
        <v>8</v>
      </c>
      <c r="B11" t="s">
        <v>35</v>
      </c>
      <c r="C11" t="s">
        <v>59</v>
      </c>
      <c r="D11">
        <v>1985</v>
      </c>
      <c r="E11" t="s">
        <v>62</v>
      </c>
      <c r="F11" t="s">
        <v>69</v>
      </c>
      <c r="G11" s="2">
        <v>22000</v>
      </c>
      <c r="H11">
        <v>2</v>
      </c>
      <c r="I11">
        <v>2</v>
      </c>
      <c r="L11" s="14" t="s">
        <v>82</v>
      </c>
      <c r="M11" s="14"/>
      <c r="N11" s="14"/>
      <c r="O11" s="14"/>
    </row>
    <row r="12" spans="1:15" x14ac:dyDescent="0.25">
      <c r="A12" t="s">
        <v>9</v>
      </c>
      <c r="B12" t="s">
        <v>36</v>
      </c>
      <c r="C12" t="s">
        <v>60</v>
      </c>
      <c r="D12">
        <v>1968</v>
      </c>
      <c r="E12" t="s">
        <v>63</v>
      </c>
      <c r="F12" t="s">
        <v>69</v>
      </c>
      <c r="G12" s="2">
        <v>21500</v>
      </c>
      <c r="H12">
        <v>0</v>
      </c>
      <c r="I12">
        <v>25</v>
      </c>
      <c r="L12" s="14"/>
      <c r="M12" s="14"/>
      <c r="N12" s="14"/>
      <c r="O12" s="14"/>
    </row>
    <row r="13" spans="1:15" x14ac:dyDescent="0.25">
      <c r="A13" t="s">
        <v>10</v>
      </c>
      <c r="B13" t="s">
        <v>37</v>
      </c>
      <c r="C13" t="s">
        <v>60</v>
      </c>
      <c r="D13">
        <v>1969</v>
      </c>
      <c r="E13" t="s">
        <v>64</v>
      </c>
      <c r="F13" t="s">
        <v>71</v>
      </c>
      <c r="G13" s="2">
        <v>14500</v>
      </c>
      <c r="H13">
        <v>3</v>
      </c>
      <c r="I13">
        <v>26</v>
      </c>
      <c r="L13" s="14" t="s">
        <v>83</v>
      </c>
      <c r="M13" s="14"/>
      <c r="N13" s="14"/>
      <c r="O13" s="14"/>
    </row>
    <row r="14" spans="1:15" x14ac:dyDescent="0.25">
      <c r="A14" t="s">
        <v>16</v>
      </c>
      <c r="B14" t="s">
        <v>38</v>
      </c>
      <c r="C14" t="s">
        <v>59</v>
      </c>
      <c r="D14">
        <v>1970</v>
      </c>
      <c r="E14" t="s">
        <v>63</v>
      </c>
      <c r="F14" t="s">
        <v>71</v>
      </c>
      <c r="G14" s="2">
        <v>13500</v>
      </c>
      <c r="H14">
        <v>0</v>
      </c>
      <c r="I14">
        <v>20</v>
      </c>
      <c r="L14" s="14"/>
      <c r="M14" s="14"/>
      <c r="N14" s="14"/>
      <c r="O14" s="14"/>
    </row>
    <row r="15" spans="1:15" x14ac:dyDescent="0.25">
      <c r="A15" t="s">
        <v>17</v>
      </c>
      <c r="B15" t="s">
        <v>39</v>
      </c>
      <c r="C15" t="s">
        <v>58</v>
      </c>
      <c r="D15">
        <v>1982</v>
      </c>
      <c r="E15" t="s">
        <v>63</v>
      </c>
      <c r="F15" t="s">
        <v>71</v>
      </c>
      <c r="G15" s="2">
        <v>14000</v>
      </c>
      <c r="H15">
        <v>1</v>
      </c>
      <c r="I15">
        <v>8</v>
      </c>
      <c r="L15" s="14" t="s">
        <v>84</v>
      </c>
      <c r="M15" s="14"/>
      <c r="N15" s="14"/>
      <c r="O15" s="14"/>
    </row>
    <row r="16" spans="1:15" x14ac:dyDescent="0.25">
      <c r="A16" t="s">
        <v>13</v>
      </c>
      <c r="B16" t="s">
        <v>40</v>
      </c>
      <c r="C16" t="s">
        <v>57</v>
      </c>
      <c r="D16">
        <v>1983</v>
      </c>
      <c r="E16" t="s">
        <v>63</v>
      </c>
      <c r="F16" t="s">
        <v>71</v>
      </c>
      <c r="G16" s="2">
        <v>13800</v>
      </c>
      <c r="H16">
        <v>0</v>
      </c>
      <c r="I16">
        <v>11</v>
      </c>
      <c r="L16" s="14"/>
      <c r="M16" s="14"/>
      <c r="N16" s="14"/>
      <c r="O16" s="14"/>
    </row>
    <row r="17" spans="1:9" x14ac:dyDescent="0.25">
      <c r="A17" t="s">
        <v>14</v>
      </c>
      <c r="B17" t="s">
        <v>41</v>
      </c>
      <c r="C17" t="s">
        <v>56</v>
      </c>
      <c r="D17">
        <v>1952</v>
      </c>
      <c r="E17" t="s">
        <v>63</v>
      </c>
      <c r="F17" t="s">
        <v>72</v>
      </c>
      <c r="G17" s="2">
        <v>19500</v>
      </c>
      <c r="H17">
        <v>0</v>
      </c>
      <c r="I17">
        <v>38</v>
      </c>
    </row>
    <row r="18" spans="1:9" x14ac:dyDescent="0.25">
      <c r="A18" t="s">
        <v>15</v>
      </c>
      <c r="B18" t="s">
        <v>42</v>
      </c>
      <c r="C18" t="s">
        <v>58</v>
      </c>
      <c r="D18">
        <v>1984</v>
      </c>
      <c r="E18" t="s">
        <v>63</v>
      </c>
      <c r="F18" t="s">
        <v>71</v>
      </c>
      <c r="G18" s="2">
        <v>13200</v>
      </c>
      <c r="H18">
        <v>0</v>
      </c>
      <c r="I18">
        <v>5</v>
      </c>
    </row>
    <row r="19" spans="1:9" x14ac:dyDescent="0.25">
      <c r="A19" t="s">
        <v>18</v>
      </c>
      <c r="B19" t="s">
        <v>43</v>
      </c>
      <c r="C19" t="s">
        <v>56</v>
      </c>
      <c r="D19">
        <v>1986</v>
      </c>
      <c r="E19" t="s">
        <v>62</v>
      </c>
      <c r="F19" t="s">
        <v>70</v>
      </c>
      <c r="G19" s="2">
        <v>18200</v>
      </c>
      <c r="H19">
        <v>1</v>
      </c>
      <c r="I19">
        <v>1</v>
      </c>
    </row>
    <row r="20" spans="1:9" x14ac:dyDescent="0.25">
      <c r="A20" t="s">
        <v>7</v>
      </c>
      <c r="B20" t="s">
        <v>44</v>
      </c>
      <c r="C20" t="s">
        <v>61</v>
      </c>
      <c r="D20">
        <v>1955</v>
      </c>
      <c r="E20" t="s">
        <v>62</v>
      </c>
      <c r="F20" t="s">
        <v>67</v>
      </c>
      <c r="G20" s="2">
        <v>35000</v>
      </c>
      <c r="H20">
        <v>2</v>
      </c>
      <c r="I20">
        <v>36</v>
      </c>
    </row>
    <row r="21" spans="1:9" x14ac:dyDescent="0.25">
      <c r="A21" t="s">
        <v>19</v>
      </c>
      <c r="B21" t="s">
        <v>45</v>
      </c>
      <c r="C21" t="s">
        <v>60</v>
      </c>
      <c r="D21">
        <v>1990</v>
      </c>
      <c r="E21" t="s">
        <v>64</v>
      </c>
      <c r="F21" t="s">
        <v>71</v>
      </c>
      <c r="G21" s="2">
        <v>14200</v>
      </c>
      <c r="H21">
        <v>0</v>
      </c>
      <c r="I21">
        <v>3</v>
      </c>
    </row>
    <row r="22" spans="1:9" x14ac:dyDescent="0.25">
      <c r="A22" t="s">
        <v>15</v>
      </c>
      <c r="B22" t="s">
        <v>46</v>
      </c>
      <c r="C22" t="s">
        <v>59</v>
      </c>
      <c r="D22">
        <v>1987</v>
      </c>
      <c r="E22" t="s">
        <v>63</v>
      </c>
      <c r="F22" t="s">
        <v>72</v>
      </c>
      <c r="G22" s="2">
        <v>19200</v>
      </c>
      <c r="H22">
        <v>0</v>
      </c>
      <c r="I22">
        <v>4</v>
      </c>
    </row>
    <row r="23" spans="1:9" x14ac:dyDescent="0.25">
      <c r="A23" t="s">
        <v>20</v>
      </c>
      <c r="B23" t="s">
        <v>47</v>
      </c>
      <c r="C23" t="s">
        <v>57</v>
      </c>
      <c r="D23">
        <v>1985</v>
      </c>
      <c r="E23" t="s">
        <v>63</v>
      </c>
      <c r="F23" t="s">
        <v>72</v>
      </c>
      <c r="G23" s="2">
        <v>19700</v>
      </c>
      <c r="H23">
        <v>1</v>
      </c>
      <c r="I23">
        <v>5</v>
      </c>
    </row>
    <row r="24" spans="1:9" x14ac:dyDescent="0.25">
      <c r="A24" t="s">
        <v>21</v>
      </c>
      <c r="B24" t="s">
        <v>48</v>
      </c>
      <c r="C24" t="s">
        <v>58</v>
      </c>
      <c r="D24">
        <v>1965</v>
      </c>
      <c r="E24" t="s">
        <v>63</v>
      </c>
      <c r="F24" t="s">
        <v>72</v>
      </c>
      <c r="G24" s="2">
        <v>19500</v>
      </c>
      <c r="H24">
        <v>1</v>
      </c>
      <c r="I24">
        <v>27</v>
      </c>
    </row>
    <row r="25" spans="1:9" x14ac:dyDescent="0.25">
      <c r="A25" t="s">
        <v>22</v>
      </c>
      <c r="B25" t="s">
        <v>49</v>
      </c>
      <c r="C25" t="s">
        <v>61</v>
      </c>
      <c r="D25">
        <v>1978</v>
      </c>
      <c r="E25" t="s">
        <v>63</v>
      </c>
      <c r="F25" t="s">
        <v>68</v>
      </c>
      <c r="G25" s="2">
        <v>15000</v>
      </c>
      <c r="H25">
        <v>2</v>
      </c>
      <c r="I25">
        <v>12</v>
      </c>
    </row>
    <row r="26" spans="1:9" x14ac:dyDescent="0.25">
      <c r="A26" t="s">
        <v>23</v>
      </c>
      <c r="B26" t="s">
        <v>50</v>
      </c>
      <c r="C26" t="s">
        <v>58</v>
      </c>
      <c r="D26">
        <v>1982</v>
      </c>
      <c r="E26" t="s">
        <v>64</v>
      </c>
      <c r="F26" t="s">
        <v>71</v>
      </c>
      <c r="G26" s="2">
        <v>12500</v>
      </c>
      <c r="H26">
        <v>0</v>
      </c>
      <c r="I26">
        <v>10</v>
      </c>
    </row>
    <row r="27" spans="1:9" x14ac:dyDescent="0.25">
      <c r="A27" t="s">
        <v>16</v>
      </c>
      <c r="B27" t="s">
        <v>51</v>
      </c>
      <c r="C27" t="s">
        <v>56</v>
      </c>
      <c r="D27">
        <v>1980</v>
      </c>
      <c r="E27" t="s">
        <v>63</v>
      </c>
      <c r="F27" t="s">
        <v>70</v>
      </c>
      <c r="G27" s="2">
        <v>17600</v>
      </c>
      <c r="H27">
        <v>0</v>
      </c>
      <c r="I27">
        <v>8</v>
      </c>
    </row>
    <row r="28" spans="1:9" x14ac:dyDescent="0.25">
      <c r="A28" t="s">
        <v>24</v>
      </c>
      <c r="B28" t="s">
        <v>52</v>
      </c>
      <c r="C28" t="s">
        <v>57</v>
      </c>
      <c r="D28">
        <v>1967</v>
      </c>
      <c r="E28" t="s">
        <v>62</v>
      </c>
      <c r="F28" t="s">
        <v>69</v>
      </c>
      <c r="G28" s="2">
        <v>20200</v>
      </c>
      <c r="H28">
        <v>2</v>
      </c>
      <c r="I28">
        <v>20</v>
      </c>
    </row>
    <row r="29" spans="1:9" x14ac:dyDescent="0.25">
      <c r="A29" t="s">
        <v>25</v>
      </c>
      <c r="B29" t="s">
        <v>53</v>
      </c>
      <c r="C29" t="s">
        <v>58</v>
      </c>
      <c r="D29">
        <v>1975</v>
      </c>
      <c r="E29" t="s">
        <v>63</v>
      </c>
      <c r="F29" t="s">
        <v>71</v>
      </c>
      <c r="G29" s="2">
        <v>13500</v>
      </c>
      <c r="H29">
        <v>3</v>
      </c>
      <c r="I29">
        <v>17</v>
      </c>
    </row>
    <row r="30" spans="1:9" x14ac:dyDescent="0.25">
      <c r="A30" t="s">
        <v>15</v>
      </c>
      <c r="B30" t="s">
        <v>54</v>
      </c>
      <c r="C30" t="s">
        <v>58</v>
      </c>
      <c r="D30">
        <v>1972</v>
      </c>
      <c r="E30" t="s">
        <v>63</v>
      </c>
      <c r="F30" t="s">
        <v>71</v>
      </c>
      <c r="G30" s="2">
        <v>13200</v>
      </c>
      <c r="H30">
        <v>1</v>
      </c>
      <c r="I30">
        <v>20</v>
      </c>
    </row>
    <row r="31" spans="1:9" x14ac:dyDescent="0.25">
      <c r="A31" t="s">
        <v>26</v>
      </c>
      <c r="B31" t="s">
        <v>55</v>
      </c>
      <c r="C31" t="s">
        <v>59</v>
      </c>
      <c r="D31">
        <v>1980</v>
      </c>
      <c r="E31" t="s">
        <v>63</v>
      </c>
      <c r="F31" t="s">
        <v>70</v>
      </c>
      <c r="G31" s="2">
        <v>18500</v>
      </c>
      <c r="H31">
        <v>0</v>
      </c>
      <c r="I31">
        <v>10</v>
      </c>
    </row>
  </sheetData>
  <mergeCells count="4">
    <mergeCell ref="L9:O10"/>
    <mergeCell ref="L11:O12"/>
    <mergeCell ref="L13:O14"/>
    <mergeCell ref="L15:O16"/>
  </mergeCells>
  <pageMargins left="0.7" right="0.7" top="0.78740157499999996" bottom="0.78740157499999996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38DF-8A42-4D10-96D7-875B6C73C539}">
  <dimension ref="A1:D4"/>
  <sheetViews>
    <sheetView workbookViewId="0">
      <selection activeCell="N17" sqref="N17"/>
    </sheetView>
  </sheetViews>
  <sheetFormatPr defaultRowHeight="15" x14ac:dyDescent="0.25"/>
  <sheetData>
    <row r="1" spans="1:4" x14ac:dyDescent="0.25">
      <c r="A1" s="17" t="s">
        <v>85</v>
      </c>
      <c r="B1" s="18"/>
      <c r="C1" s="18"/>
      <c r="D1" s="18"/>
    </row>
    <row r="2" spans="1:4" x14ac:dyDescent="0.25">
      <c r="A2" t="s">
        <v>86</v>
      </c>
    </row>
    <row r="4" spans="1:4" x14ac:dyDescent="0.25">
      <c r="A4" t="s">
        <v>87</v>
      </c>
      <c r="C4" s="19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9F21-A89F-4C9D-90F0-DA466479518E}">
  <dimension ref="A1:R101"/>
  <sheetViews>
    <sheetView tabSelected="1" topLeftCell="A59" workbookViewId="0">
      <selection activeCell="L68" sqref="L68"/>
    </sheetView>
  </sheetViews>
  <sheetFormatPr defaultRowHeight="12.75" x14ac:dyDescent="0.2"/>
  <cols>
    <col min="1" max="1" width="14" style="20" customWidth="1"/>
    <col min="2" max="3" width="9.140625" style="20"/>
    <col min="4" max="4" width="13.5703125" style="20" customWidth="1"/>
    <col min="5" max="5" width="13.28515625" style="20" bestFit="1" customWidth="1"/>
    <col min="6" max="6" width="12.140625" style="20" customWidth="1"/>
    <col min="7" max="16384" width="9.140625" style="20"/>
  </cols>
  <sheetData>
    <row r="1" spans="1:9" x14ac:dyDescent="0.2">
      <c r="A1" s="20" t="s">
        <v>1</v>
      </c>
      <c r="B1" s="20" t="s">
        <v>0</v>
      </c>
      <c r="C1" s="20" t="s">
        <v>88</v>
      </c>
      <c r="D1" s="20" t="s">
        <v>89</v>
      </c>
      <c r="E1" s="20" t="s">
        <v>90</v>
      </c>
      <c r="F1" s="20" t="s">
        <v>91</v>
      </c>
      <c r="G1" s="20" t="s">
        <v>92</v>
      </c>
      <c r="H1" s="20" t="s">
        <v>93</v>
      </c>
      <c r="I1" s="20" t="s">
        <v>94</v>
      </c>
    </row>
    <row r="2" spans="1:9" x14ac:dyDescent="0.2">
      <c r="A2" s="20" t="s">
        <v>95</v>
      </c>
      <c r="B2" s="20" t="s">
        <v>10</v>
      </c>
      <c r="C2" s="20" t="s">
        <v>96</v>
      </c>
      <c r="D2" s="21">
        <v>26314</v>
      </c>
      <c r="E2" s="22">
        <f ca="1">YEAR(TODAY())-YEAR(D2)</f>
        <v>49</v>
      </c>
      <c r="F2" s="20" t="str">
        <f ca="1">IF(E2&lt;=25,"méně než 25",IF(E2&lt;=40,"25-40",IF(E2&lt;=60,"40-60","víc než 60")))</f>
        <v>40-60</v>
      </c>
      <c r="G2" s="20" t="s">
        <v>97</v>
      </c>
      <c r="H2" s="20" t="s">
        <v>98</v>
      </c>
      <c r="I2" s="20" t="s">
        <v>99</v>
      </c>
    </row>
    <row r="3" spans="1:9" x14ac:dyDescent="0.2">
      <c r="A3" s="20" t="s">
        <v>100</v>
      </c>
      <c r="B3" s="20" t="s">
        <v>101</v>
      </c>
      <c r="C3" s="20" t="s">
        <v>96</v>
      </c>
      <c r="D3" s="21">
        <v>25892</v>
      </c>
      <c r="E3" s="22">
        <f t="shared" ref="E3:E66" ca="1" si="0">YEAR(TODAY())-YEAR(D3)</f>
        <v>51</v>
      </c>
      <c r="F3" s="20" t="str">
        <f ca="1">IF(E3&lt;=25,"méně než 25",IF(E3&lt;=40,"25-40",IF(E3&lt;=60,"40-60","víc než 60")))</f>
        <v>40-60</v>
      </c>
      <c r="G3" s="20" t="s">
        <v>97</v>
      </c>
      <c r="H3" s="20" t="s">
        <v>98</v>
      </c>
      <c r="I3" s="20" t="s">
        <v>102</v>
      </c>
    </row>
    <row r="4" spans="1:9" x14ac:dyDescent="0.2">
      <c r="A4" s="20" t="s">
        <v>103</v>
      </c>
      <c r="B4" s="20" t="s">
        <v>7</v>
      </c>
      <c r="C4" s="20" t="s">
        <v>96</v>
      </c>
      <c r="D4" s="21">
        <v>27167</v>
      </c>
      <c r="E4" s="22">
        <f t="shared" ca="1" si="0"/>
        <v>47</v>
      </c>
      <c r="F4" s="20" t="str">
        <f t="shared" ref="F4:F67" ca="1" si="1">IF(E4&lt;=25,"méně než 25",IF(E4&lt;=40,"25-40",IF(E4&lt;=60,"40-60","víc než 60")))</f>
        <v>40-60</v>
      </c>
      <c r="G4" s="20" t="s">
        <v>97</v>
      </c>
      <c r="H4" s="20" t="s">
        <v>98</v>
      </c>
      <c r="I4" s="20" t="s">
        <v>104</v>
      </c>
    </row>
    <row r="5" spans="1:9" x14ac:dyDescent="0.2">
      <c r="A5" s="20" t="s">
        <v>105</v>
      </c>
      <c r="B5" s="20" t="s">
        <v>15</v>
      </c>
      <c r="C5" s="20" t="s">
        <v>96</v>
      </c>
      <c r="D5" s="21">
        <v>22951</v>
      </c>
      <c r="E5" s="22">
        <f t="shared" ca="1" si="0"/>
        <v>59</v>
      </c>
      <c r="F5" s="20" t="str">
        <f t="shared" ca="1" si="1"/>
        <v>40-60</v>
      </c>
      <c r="G5" s="20" t="s">
        <v>97</v>
      </c>
      <c r="H5" s="20" t="s">
        <v>98</v>
      </c>
      <c r="I5" s="20" t="s">
        <v>106</v>
      </c>
    </row>
    <row r="6" spans="1:9" x14ac:dyDescent="0.2">
      <c r="A6" s="20" t="s">
        <v>107</v>
      </c>
      <c r="B6" s="20" t="s">
        <v>108</v>
      </c>
      <c r="C6" s="20" t="s">
        <v>96</v>
      </c>
      <c r="D6" s="21">
        <v>16443</v>
      </c>
      <c r="E6" s="22">
        <f t="shared" ca="1" si="0"/>
        <v>76</v>
      </c>
      <c r="F6" s="20" t="str">
        <f ca="1">IF(E6&lt;=25,"méně než 25",IF(E6&lt;=40,"25-40",IF(E6&lt;=60,"40-60","víc než 60")))</f>
        <v>víc než 60</v>
      </c>
      <c r="G6" s="20" t="s">
        <v>97</v>
      </c>
      <c r="H6" s="20" t="s">
        <v>98</v>
      </c>
      <c r="I6" s="20" t="s">
        <v>109</v>
      </c>
    </row>
    <row r="7" spans="1:9" x14ac:dyDescent="0.2">
      <c r="A7" s="20" t="s">
        <v>110</v>
      </c>
      <c r="B7" s="20" t="s">
        <v>10</v>
      </c>
      <c r="C7" s="20" t="s">
        <v>96</v>
      </c>
      <c r="D7" s="21">
        <v>20353</v>
      </c>
      <c r="E7" s="22">
        <f t="shared" ca="1" si="0"/>
        <v>66</v>
      </c>
      <c r="F7" s="20" t="str">
        <f t="shared" ca="1" si="1"/>
        <v>víc než 60</v>
      </c>
      <c r="G7" s="20" t="s">
        <v>97</v>
      </c>
      <c r="H7" s="20" t="s">
        <v>98</v>
      </c>
      <c r="I7" s="20" t="s">
        <v>111</v>
      </c>
    </row>
    <row r="8" spans="1:9" x14ac:dyDescent="0.2">
      <c r="A8" s="20" t="s">
        <v>112</v>
      </c>
      <c r="B8" s="20" t="s">
        <v>113</v>
      </c>
      <c r="C8" s="20" t="s">
        <v>114</v>
      </c>
      <c r="D8" s="21">
        <v>21102</v>
      </c>
      <c r="E8" s="22">
        <f t="shared" ca="1" si="0"/>
        <v>64</v>
      </c>
      <c r="F8" s="20" t="str">
        <f t="shared" ca="1" si="1"/>
        <v>víc než 60</v>
      </c>
      <c r="G8" s="20" t="s">
        <v>97</v>
      </c>
      <c r="H8" s="20" t="s">
        <v>98</v>
      </c>
      <c r="I8" s="20" t="s">
        <v>115</v>
      </c>
    </row>
    <row r="9" spans="1:9" x14ac:dyDescent="0.2">
      <c r="A9" s="20" t="s">
        <v>116</v>
      </c>
      <c r="B9" s="20" t="s">
        <v>117</v>
      </c>
      <c r="C9" s="20" t="s">
        <v>96</v>
      </c>
      <c r="D9" s="21">
        <v>19633</v>
      </c>
      <c r="E9" s="22">
        <f t="shared" ca="1" si="0"/>
        <v>68</v>
      </c>
      <c r="F9" s="20" t="str">
        <f t="shared" ca="1" si="1"/>
        <v>víc než 60</v>
      </c>
      <c r="G9" s="20" t="s">
        <v>97</v>
      </c>
      <c r="H9" s="20" t="s">
        <v>118</v>
      </c>
      <c r="I9" s="20" t="s">
        <v>72</v>
      </c>
    </row>
    <row r="10" spans="1:9" x14ac:dyDescent="0.2">
      <c r="A10" s="20" t="s">
        <v>119</v>
      </c>
      <c r="B10" s="20" t="s">
        <v>10</v>
      </c>
      <c r="C10" s="20" t="s">
        <v>96</v>
      </c>
      <c r="D10" s="21">
        <v>15681</v>
      </c>
      <c r="E10" s="22">
        <f t="shared" ca="1" si="0"/>
        <v>79</v>
      </c>
      <c r="F10" s="20" t="str">
        <f t="shared" ca="1" si="1"/>
        <v>víc než 60</v>
      </c>
      <c r="G10" s="20" t="s">
        <v>97</v>
      </c>
      <c r="H10" s="20" t="s">
        <v>98</v>
      </c>
      <c r="I10" s="20" t="s">
        <v>120</v>
      </c>
    </row>
    <row r="11" spans="1:9" x14ac:dyDescent="0.2">
      <c r="A11" s="20" t="s">
        <v>121</v>
      </c>
      <c r="B11" s="20" t="s">
        <v>122</v>
      </c>
      <c r="C11" s="20" t="s">
        <v>114</v>
      </c>
      <c r="D11" s="21">
        <v>28501</v>
      </c>
      <c r="E11" s="22">
        <f t="shared" ca="1" si="0"/>
        <v>43</v>
      </c>
      <c r="F11" s="20" t="str">
        <f t="shared" ca="1" si="1"/>
        <v>40-60</v>
      </c>
      <c r="G11" s="20" t="s">
        <v>97</v>
      </c>
      <c r="H11" s="20" t="s">
        <v>98</v>
      </c>
      <c r="I11" s="20" t="s">
        <v>123</v>
      </c>
    </row>
    <row r="12" spans="1:9" x14ac:dyDescent="0.2">
      <c r="A12" s="20" t="s">
        <v>124</v>
      </c>
      <c r="B12" s="20" t="s">
        <v>7</v>
      </c>
      <c r="C12" s="20" t="s">
        <v>96</v>
      </c>
      <c r="D12" s="21">
        <v>24510</v>
      </c>
      <c r="E12" s="22">
        <f t="shared" ca="1" si="0"/>
        <v>54</v>
      </c>
      <c r="F12" s="20" t="str">
        <f t="shared" ca="1" si="1"/>
        <v>40-60</v>
      </c>
      <c r="G12" s="20" t="s">
        <v>125</v>
      </c>
      <c r="H12" s="20" t="s">
        <v>98</v>
      </c>
      <c r="I12" s="20" t="s">
        <v>123</v>
      </c>
    </row>
    <row r="13" spans="1:9" x14ac:dyDescent="0.2">
      <c r="A13" s="20" t="s">
        <v>126</v>
      </c>
      <c r="B13" s="20" t="s">
        <v>127</v>
      </c>
      <c r="C13" s="20" t="s">
        <v>96</v>
      </c>
      <c r="D13" s="21">
        <v>24780</v>
      </c>
      <c r="E13" s="22">
        <f t="shared" ca="1" si="0"/>
        <v>54</v>
      </c>
      <c r="F13" s="20" t="str">
        <f t="shared" ca="1" si="1"/>
        <v>40-60</v>
      </c>
      <c r="G13" s="20" t="s">
        <v>125</v>
      </c>
      <c r="H13" s="20" t="s">
        <v>98</v>
      </c>
      <c r="I13" s="20" t="s">
        <v>111</v>
      </c>
    </row>
    <row r="14" spans="1:9" x14ac:dyDescent="0.2">
      <c r="A14" s="20" t="s">
        <v>128</v>
      </c>
      <c r="B14" s="20" t="s">
        <v>129</v>
      </c>
      <c r="C14" s="20" t="s">
        <v>114</v>
      </c>
      <c r="D14" s="21">
        <v>26439</v>
      </c>
      <c r="E14" s="22">
        <f t="shared" ca="1" si="0"/>
        <v>49</v>
      </c>
      <c r="F14" s="20" t="str">
        <f t="shared" ca="1" si="1"/>
        <v>40-60</v>
      </c>
      <c r="G14" s="20" t="s">
        <v>125</v>
      </c>
      <c r="H14" s="20" t="s">
        <v>98</v>
      </c>
      <c r="I14" s="20" t="s">
        <v>99</v>
      </c>
    </row>
    <row r="15" spans="1:9" x14ac:dyDescent="0.2">
      <c r="A15" s="20" t="s">
        <v>130</v>
      </c>
      <c r="B15" s="20" t="s">
        <v>131</v>
      </c>
      <c r="C15" s="20" t="s">
        <v>114</v>
      </c>
      <c r="D15" s="21">
        <v>23611</v>
      </c>
      <c r="E15" s="22">
        <f t="shared" ca="1" si="0"/>
        <v>57</v>
      </c>
      <c r="F15" s="20" t="str">
        <f t="shared" ca="1" si="1"/>
        <v>40-60</v>
      </c>
      <c r="G15" s="20" t="s">
        <v>125</v>
      </c>
      <c r="H15" s="20" t="s">
        <v>98</v>
      </c>
      <c r="I15" s="20" t="s">
        <v>115</v>
      </c>
    </row>
    <row r="16" spans="1:9" x14ac:dyDescent="0.2">
      <c r="A16" s="20" t="s">
        <v>132</v>
      </c>
      <c r="B16" s="20" t="s">
        <v>8</v>
      </c>
      <c r="C16" s="20" t="s">
        <v>96</v>
      </c>
      <c r="D16" s="21">
        <v>23020</v>
      </c>
      <c r="E16" s="22">
        <f t="shared" ca="1" si="0"/>
        <v>58</v>
      </c>
      <c r="F16" s="20" t="str">
        <f t="shared" ca="1" si="1"/>
        <v>40-60</v>
      </c>
      <c r="G16" s="20" t="s">
        <v>125</v>
      </c>
      <c r="H16" s="20" t="s">
        <v>98</v>
      </c>
      <c r="I16" s="20" t="s">
        <v>120</v>
      </c>
    </row>
    <row r="17" spans="1:9" x14ac:dyDescent="0.2">
      <c r="A17" s="20" t="s">
        <v>133</v>
      </c>
      <c r="B17" s="20" t="s">
        <v>134</v>
      </c>
      <c r="C17" s="20" t="s">
        <v>96</v>
      </c>
      <c r="D17" s="21">
        <v>26239</v>
      </c>
      <c r="E17" s="22">
        <f t="shared" ca="1" si="0"/>
        <v>50</v>
      </c>
      <c r="F17" s="20" t="str">
        <f t="shared" ca="1" si="1"/>
        <v>40-60</v>
      </c>
      <c r="G17" s="20" t="s">
        <v>125</v>
      </c>
      <c r="H17" s="20" t="s">
        <v>98</v>
      </c>
      <c r="I17" s="20" t="s">
        <v>106</v>
      </c>
    </row>
    <row r="18" spans="1:9" x14ac:dyDescent="0.2">
      <c r="A18" s="20" t="s">
        <v>135</v>
      </c>
      <c r="B18" s="20" t="s">
        <v>15</v>
      </c>
      <c r="C18" s="20" t="s">
        <v>96</v>
      </c>
      <c r="D18" s="21">
        <v>20558</v>
      </c>
      <c r="E18" s="22">
        <f t="shared" ca="1" si="0"/>
        <v>65</v>
      </c>
      <c r="F18" s="20" t="str">
        <f t="shared" ca="1" si="1"/>
        <v>víc než 60</v>
      </c>
      <c r="G18" s="20" t="s">
        <v>125</v>
      </c>
      <c r="H18" s="20" t="s">
        <v>98</v>
      </c>
      <c r="I18" s="20" t="s">
        <v>109</v>
      </c>
    </row>
    <row r="19" spans="1:9" x14ac:dyDescent="0.2">
      <c r="A19" s="20" t="s">
        <v>136</v>
      </c>
      <c r="B19" s="20" t="s">
        <v>137</v>
      </c>
      <c r="C19" s="20" t="s">
        <v>114</v>
      </c>
      <c r="D19" s="21">
        <v>20447</v>
      </c>
      <c r="E19" s="22">
        <f t="shared" ca="1" si="0"/>
        <v>66</v>
      </c>
      <c r="F19" s="20" t="str">
        <f t="shared" ca="1" si="1"/>
        <v>víc než 60</v>
      </c>
      <c r="G19" s="20" t="s">
        <v>125</v>
      </c>
      <c r="H19" s="20" t="s">
        <v>98</v>
      </c>
      <c r="I19" s="20" t="s">
        <v>102</v>
      </c>
    </row>
    <row r="20" spans="1:9" x14ac:dyDescent="0.2">
      <c r="A20" s="20" t="s">
        <v>138</v>
      </c>
      <c r="B20" s="20" t="s">
        <v>139</v>
      </c>
      <c r="C20" s="20" t="s">
        <v>96</v>
      </c>
      <c r="D20" s="21">
        <v>21801</v>
      </c>
      <c r="E20" s="22">
        <f t="shared" ca="1" si="0"/>
        <v>62</v>
      </c>
      <c r="F20" s="20" t="str">
        <f t="shared" ca="1" si="1"/>
        <v>víc než 60</v>
      </c>
      <c r="G20" s="20" t="s">
        <v>125</v>
      </c>
      <c r="H20" s="20" t="s">
        <v>118</v>
      </c>
      <c r="I20" s="20" t="s">
        <v>72</v>
      </c>
    </row>
    <row r="21" spans="1:9" x14ac:dyDescent="0.2">
      <c r="A21" s="20" t="s">
        <v>140</v>
      </c>
      <c r="B21" s="20" t="s">
        <v>12</v>
      </c>
      <c r="C21" s="20" t="s">
        <v>96</v>
      </c>
      <c r="D21" s="21">
        <v>14759</v>
      </c>
      <c r="E21" s="22">
        <f t="shared" ca="1" si="0"/>
        <v>81</v>
      </c>
      <c r="F21" s="20" t="str">
        <f t="shared" ca="1" si="1"/>
        <v>víc než 60</v>
      </c>
      <c r="G21" s="20" t="s">
        <v>125</v>
      </c>
      <c r="H21" s="20" t="s">
        <v>98</v>
      </c>
      <c r="I21" s="20" t="s">
        <v>104</v>
      </c>
    </row>
    <row r="22" spans="1:9" x14ac:dyDescent="0.2">
      <c r="A22" s="20" t="s">
        <v>141</v>
      </c>
      <c r="B22" s="20" t="s">
        <v>7</v>
      </c>
      <c r="C22" s="20" t="s">
        <v>96</v>
      </c>
      <c r="D22" s="21">
        <v>26456</v>
      </c>
      <c r="E22" s="22">
        <f t="shared" ca="1" si="0"/>
        <v>49</v>
      </c>
      <c r="F22" s="20" t="str">
        <f t="shared" ca="1" si="1"/>
        <v>40-60</v>
      </c>
      <c r="G22" s="20" t="s">
        <v>142</v>
      </c>
      <c r="H22" s="20" t="s">
        <v>98</v>
      </c>
      <c r="I22" s="20" t="s">
        <v>123</v>
      </c>
    </row>
    <row r="23" spans="1:9" x14ac:dyDescent="0.2">
      <c r="A23" s="20" t="s">
        <v>143</v>
      </c>
      <c r="B23" s="20" t="s">
        <v>144</v>
      </c>
      <c r="C23" s="20" t="s">
        <v>114</v>
      </c>
      <c r="D23" s="21">
        <v>24569</v>
      </c>
      <c r="E23" s="22">
        <f t="shared" ca="1" si="0"/>
        <v>54</v>
      </c>
      <c r="F23" s="20" t="str">
        <f t="shared" ca="1" si="1"/>
        <v>40-60</v>
      </c>
      <c r="G23" s="20" t="s">
        <v>142</v>
      </c>
      <c r="H23" s="20" t="s">
        <v>98</v>
      </c>
      <c r="I23" s="20" t="s">
        <v>115</v>
      </c>
    </row>
    <row r="24" spans="1:9" x14ac:dyDescent="0.2">
      <c r="A24" s="20" t="s">
        <v>145</v>
      </c>
      <c r="B24" s="20" t="s">
        <v>8</v>
      </c>
      <c r="C24" s="20" t="s">
        <v>96</v>
      </c>
      <c r="D24" s="21">
        <v>22492</v>
      </c>
      <c r="E24" s="22">
        <f t="shared" ca="1" si="0"/>
        <v>60</v>
      </c>
      <c r="F24" s="20" t="str">
        <f t="shared" ca="1" si="1"/>
        <v>40-60</v>
      </c>
      <c r="G24" s="20" t="s">
        <v>142</v>
      </c>
      <c r="H24" s="20" t="s">
        <v>98</v>
      </c>
      <c r="I24" s="20" t="s">
        <v>120</v>
      </c>
    </row>
    <row r="25" spans="1:9" x14ac:dyDescent="0.2">
      <c r="A25" s="20" t="s">
        <v>146</v>
      </c>
      <c r="B25" s="20" t="s">
        <v>147</v>
      </c>
      <c r="C25" s="20" t="s">
        <v>96</v>
      </c>
      <c r="D25" s="21">
        <v>26922</v>
      </c>
      <c r="E25" s="22">
        <f t="shared" ca="1" si="0"/>
        <v>48</v>
      </c>
      <c r="F25" s="20" t="str">
        <f t="shared" ca="1" si="1"/>
        <v>40-60</v>
      </c>
      <c r="G25" s="20" t="s">
        <v>142</v>
      </c>
      <c r="H25" s="20" t="s">
        <v>98</v>
      </c>
      <c r="I25" s="20" t="s">
        <v>106</v>
      </c>
    </row>
    <row r="26" spans="1:9" x14ac:dyDescent="0.2">
      <c r="A26" s="20" t="s">
        <v>148</v>
      </c>
      <c r="B26" s="20" t="s">
        <v>10</v>
      </c>
      <c r="C26" s="20" t="s">
        <v>96</v>
      </c>
      <c r="D26" s="21">
        <v>21711</v>
      </c>
      <c r="E26" s="22">
        <f t="shared" ca="1" si="0"/>
        <v>62</v>
      </c>
      <c r="F26" s="20" t="str">
        <f t="shared" ca="1" si="1"/>
        <v>víc než 60</v>
      </c>
      <c r="G26" s="20" t="s">
        <v>142</v>
      </c>
      <c r="H26" s="20" t="s">
        <v>98</v>
      </c>
      <c r="I26" s="20" t="s">
        <v>109</v>
      </c>
    </row>
    <row r="27" spans="1:9" x14ac:dyDescent="0.2">
      <c r="A27" s="20" t="s">
        <v>149</v>
      </c>
      <c r="B27" s="20" t="s">
        <v>150</v>
      </c>
      <c r="C27" s="20" t="s">
        <v>96</v>
      </c>
      <c r="D27" s="21">
        <v>21058</v>
      </c>
      <c r="E27" s="22">
        <f t="shared" ca="1" si="0"/>
        <v>64</v>
      </c>
      <c r="F27" s="20" t="str">
        <f t="shared" ca="1" si="1"/>
        <v>víc než 60</v>
      </c>
      <c r="G27" s="20" t="s">
        <v>142</v>
      </c>
      <c r="H27" s="20" t="s">
        <v>98</v>
      </c>
      <c r="I27" s="20" t="s">
        <v>111</v>
      </c>
    </row>
    <row r="28" spans="1:9" x14ac:dyDescent="0.2">
      <c r="A28" s="20" t="s">
        <v>151</v>
      </c>
      <c r="B28" s="20" t="s">
        <v>7</v>
      </c>
      <c r="C28" s="20" t="s">
        <v>96</v>
      </c>
      <c r="D28" s="21">
        <v>16593</v>
      </c>
      <c r="E28" s="22">
        <f t="shared" ca="1" si="0"/>
        <v>76</v>
      </c>
      <c r="F28" s="20" t="str">
        <f t="shared" ca="1" si="1"/>
        <v>víc než 60</v>
      </c>
      <c r="G28" s="20" t="s">
        <v>142</v>
      </c>
      <c r="H28" s="20" t="s">
        <v>98</v>
      </c>
      <c r="I28" s="20" t="s">
        <v>99</v>
      </c>
    </row>
    <row r="29" spans="1:9" x14ac:dyDescent="0.2">
      <c r="A29" s="20" t="s">
        <v>152</v>
      </c>
      <c r="B29" s="20" t="s">
        <v>153</v>
      </c>
      <c r="C29" s="20" t="s">
        <v>114</v>
      </c>
      <c r="D29" s="21">
        <v>16225</v>
      </c>
      <c r="E29" s="22">
        <f t="shared" ca="1" si="0"/>
        <v>77</v>
      </c>
      <c r="F29" s="20" t="str">
        <f t="shared" ca="1" si="1"/>
        <v>víc než 60</v>
      </c>
      <c r="G29" s="20" t="s">
        <v>142</v>
      </c>
      <c r="H29" s="20" t="s">
        <v>98</v>
      </c>
      <c r="I29" s="20" t="s">
        <v>115</v>
      </c>
    </row>
    <row r="30" spans="1:9" x14ac:dyDescent="0.2">
      <c r="A30" s="20" t="s">
        <v>154</v>
      </c>
      <c r="B30" s="20" t="s">
        <v>155</v>
      </c>
      <c r="C30" s="20" t="s">
        <v>96</v>
      </c>
      <c r="D30" s="21">
        <v>17506</v>
      </c>
      <c r="E30" s="22">
        <f t="shared" ca="1" si="0"/>
        <v>74</v>
      </c>
      <c r="F30" s="20" t="str">
        <f t="shared" ca="1" si="1"/>
        <v>víc než 60</v>
      </c>
      <c r="G30" s="20" t="s">
        <v>142</v>
      </c>
      <c r="H30" s="20" t="s">
        <v>118</v>
      </c>
      <c r="I30" s="20" t="s">
        <v>72</v>
      </c>
    </row>
    <row r="31" spans="1:9" x14ac:dyDescent="0.2">
      <c r="A31" s="20" t="s">
        <v>156</v>
      </c>
      <c r="B31" s="20" t="s">
        <v>157</v>
      </c>
      <c r="C31" s="20" t="s">
        <v>96</v>
      </c>
      <c r="D31" s="21">
        <v>15558</v>
      </c>
      <c r="E31" s="22">
        <f t="shared" ca="1" si="0"/>
        <v>79</v>
      </c>
      <c r="F31" s="20" t="str">
        <f t="shared" ca="1" si="1"/>
        <v>víc než 60</v>
      </c>
      <c r="G31" s="20" t="s">
        <v>142</v>
      </c>
      <c r="H31" s="20" t="s">
        <v>98</v>
      </c>
      <c r="I31" s="20" t="s">
        <v>104</v>
      </c>
    </row>
    <row r="32" spans="1:9" x14ac:dyDescent="0.2">
      <c r="A32" s="20" t="s">
        <v>158</v>
      </c>
      <c r="B32" s="20" t="s">
        <v>19</v>
      </c>
      <c r="C32" s="20" t="s">
        <v>96</v>
      </c>
      <c r="D32" s="21">
        <v>26047</v>
      </c>
      <c r="E32" s="22">
        <f t="shared" ca="1" si="0"/>
        <v>50</v>
      </c>
      <c r="F32" s="20" t="str">
        <f t="shared" ca="1" si="1"/>
        <v>40-60</v>
      </c>
      <c r="G32" s="20" t="s">
        <v>98</v>
      </c>
      <c r="H32" s="20" t="s">
        <v>98</v>
      </c>
      <c r="I32" s="20" t="s">
        <v>111</v>
      </c>
    </row>
    <row r="33" spans="1:9" x14ac:dyDescent="0.2">
      <c r="A33" s="20" t="s">
        <v>159</v>
      </c>
      <c r="B33" s="20" t="s">
        <v>160</v>
      </c>
      <c r="C33" s="20" t="s">
        <v>114</v>
      </c>
      <c r="D33" s="21">
        <v>24116</v>
      </c>
      <c r="E33" s="22">
        <f t="shared" ca="1" si="0"/>
        <v>55</v>
      </c>
      <c r="F33" s="20" t="str">
        <f t="shared" ca="1" si="1"/>
        <v>40-60</v>
      </c>
      <c r="G33" s="20" t="s">
        <v>98</v>
      </c>
      <c r="H33" s="20" t="s">
        <v>98</v>
      </c>
      <c r="I33" s="20" t="s">
        <v>99</v>
      </c>
    </row>
    <row r="34" spans="1:9" x14ac:dyDescent="0.2">
      <c r="A34" s="20" t="s">
        <v>161</v>
      </c>
      <c r="B34" s="20" t="s">
        <v>162</v>
      </c>
      <c r="C34" s="20" t="s">
        <v>114</v>
      </c>
      <c r="D34" s="21">
        <v>22326</v>
      </c>
      <c r="E34" s="22">
        <f t="shared" ca="1" si="0"/>
        <v>60</v>
      </c>
      <c r="F34" s="20" t="str">
        <f t="shared" ca="1" si="1"/>
        <v>40-60</v>
      </c>
      <c r="G34" s="20" t="s">
        <v>98</v>
      </c>
      <c r="H34" s="20" t="s">
        <v>98</v>
      </c>
      <c r="I34" s="20" t="s">
        <v>115</v>
      </c>
    </row>
    <row r="35" spans="1:9" x14ac:dyDescent="0.2">
      <c r="A35" s="20" t="s">
        <v>163</v>
      </c>
      <c r="B35" s="20" t="s">
        <v>129</v>
      </c>
      <c r="C35" s="20" t="s">
        <v>114</v>
      </c>
      <c r="D35" s="21">
        <v>22307</v>
      </c>
      <c r="E35" s="22">
        <f t="shared" ca="1" si="0"/>
        <v>60</v>
      </c>
      <c r="F35" s="20" t="str">
        <f t="shared" ca="1" si="1"/>
        <v>40-60</v>
      </c>
      <c r="G35" s="20" t="s">
        <v>98</v>
      </c>
      <c r="H35" s="20" t="s">
        <v>98</v>
      </c>
      <c r="I35" s="20" t="s">
        <v>102</v>
      </c>
    </row>
    <row r="36" spans="1:9" x14ac:dyDescent="0.2">
      <c r="A36" s="20" t="s">
        <v>164</v>
      </c>
      <c r="B36" s="20" t="s">
        <v>15</v>
      </c>
      <c r="C36" s="20" t="s">
        <v>96</v>
      </c>
      <c r="D36" s="21">
        <v>26288</v>
      </c>
      <c r="E36" s="22">
        <f t="shared" ca="1" si="0"/>
        <v>50</v>
      </c>
      <c r="F36" s="20" t="str">
        <f t="shared" ca="1" si="1"/>
        <v>40-60</v>
      </c>
      <c r="G36" s="20" t="s">
        <v>98</v>
      </c>
      <c r="H36" s="20" t="s">
        <v>98</v>
      </c>
      <c r="I36" s="20" t="s">
        <v>104</v>
      </c>
    </row>
    <row r="37" spans="1:9" x14ac:dyDescent="0.2">
      <c r="A37" s="20" t="s">
        <v>165</v>
      </c>
      <c r="B37" s="20" t="s">
        <v>166</v>
      </c>
      <c r="C37" s="20" t="s">
        <v>96</v>
      </c>
      <c r="D37" s="21">
        <v>15263</v>
      </c>
      <c r="E37" s="22">
        <f t="shared" ca="1" si="0"/>
        <v>80</v>
      </c>
      <c r="F37" s="20" t="str">
        <f t="shared" ca="1" si="1"/>
        <v>víc než 60</v>
      </c>
      <c r="G37" s="20" t="s">
        <v>98</v>
      </c>
      <c r="H37" s="20" t="s">
        <v>98</v>
      </c>
      <c r="I37" s="20" t="s">
        <v>109</v>
      </c>
    </row>
    <row r="38" spans="1:9" x14ac:dyDescent="0.2">
      <c r="A38" s="20" t="s">
        <v>167</v>
      </c>
      <c r="B38" s="20" t="s">
        <v>168</v>
      </c>
      <c r="C38" s="20" t="s">
        <v>96</v>
      </c>
      <c r="D38" s="21">
        <v>19545</v>
      </c>
      <c r="E38" s="22">
        <f t="shared" ca="1" si="0"/>
        <v>68</v>
      </c>
      <c r="F38" s="20" t="str">
        <f t="shared" ca="1" si="1"/>
        <v>víc než 60</v>
      </c>
      <c r="G38" s="20" t="s">
        <v>98</v>
      </c>
      <c r="H38" s="20" t="s">
        <v>98</v>
      </c>
      <c r="I38" s="20" t="s">
        <v>123</v>
      </c>
    </row>
    <row r="39" spans="1:9" x14ac:dyDescent="0.2">
      <c r="A39" s="20" t="s">
        <v>169</v>
      </c>
      <c r="B39" s="20" t="s">
        <v>170</v>
      </c>
      <c r="C39" s="20" t="s">
        <v>96</v>
      </c>
      <c r="D39" s="21">
        <v>18942</v>
      </c>
      <c r="E39" s="22">
        <f t="shared" ca="1" si="0"/>
        <v>70</v>
      </c>
      <c r="F39" s="20" t="str">
        <f t="shared" ca="1" si="1"/>
        <v>víc než 60</v>
      </c>
      <c r="G39" s="20" t="s">
        <v>98</v>
      </c>
      <c r="H39" s="20" t="s">
        <v>118</v>
      </c>
      <c r="I39" s="20" t="s">
        <v>72</v>
      </c>
    </row>
    <row r="40" spans="1:9" x14ac:dyDescent="0.2">
      <c r="A40" s="20" t="s">
        <v>171</v>
      </c>
      <c r="B40" s="20" t="s">
        <v>162</v>
      </c>
      <c r="C40" s="20" t="s">
        <v>114</v>
      </c>
      <c r="D40" s="21">
        <v>27771</v>
      </c>
      <c r="E40" s="22">
        <f t="shared" ca="1" si="0"/>
        <v>45</v>
      </c>
      <c r="F40" s="20" t="str">
        <f t="shared" ca="1" si="1"/>
        <v>40-60</v>
      </c>
      <c r="G40" s="20" t="s">
        <v>98</v>
      </c>
      <c r="H40" s="20" t="s">
        <v>98</v>
      </c>
      <c r="I40" s="20" t="s">
        <v>115</v>
      </c>
    </row>
    <row r="41" spans="1:9" x14ac:dyDescent="0.2">
      <c r="A41" s="20" t="s">
        <v>172</v>
      </c>
      <c r="B41" s="20" t="s">
        <v>173</v>
      </c>
      <c r="C41" s="20" t="s">
        <v>114</v>
      </c>
      <c r="D41" s="21">
        <v>26497</v>
      </c>
      <c r="E41" s="22">
        <f t="shared" ca="1" si="0"/>
        <v>49</v>
      </c>
      <c r="F41" s="20" t="str">
        <f t="shared" ca="1" si="1"/>
        <v>40-60</v>
      </c>
      <c r="G41" s="20" t="s">
        <v>174</v>
      </c>
      <c r="H41" s="20" t="s">
        <v>98</v>
      </c>
      <c r="I41" s="20" t="s">
        <v>115</v>
      </c>
    </row>
    <row r="42" spans="1:9" x14ac:dyDescent="0.2">
      <c r="A42" s="20" t="s">
        <v>175</v>
      </c>
      <c r="B42" s="20" t="s">
        <v>176</v>
      </c>
      <c r="C42" s="20" t="s">
        <v>96</v>
      </c>
      <c r="D42" s="21">
        <v>24269</v>
      </c>
      <c r="E42" s="22">
        <f t="shared" ca="1" si="0"/>
        <v>55</v>
      </c>
      <c r="F42" s="20" t="str">
        <f t="shared" ca="1" si="1"/>
        <v>40-60</v>
      </c>
      <c r="G42" s="20" t="s">
        <v>174</v>
      </c>
      <c r="H42" s="20" t="s">
        <v>118</v>
      </c>
      <c r="I42" s="20" t="s">
        <v>177</v>
      </c>
    </row>
    <row r="43" spans="1:9" x14ac:dyDescent="0.2">
      <c r="A43" s="20" t="s">
        <v>178</v>
      </c>
      <c r="B43" s="20" t="s">
        <v>179</v>
      </c>
      <c r="C43" s="20" t="s">
        <v>114</v>
      </c>
      <c r="D43" s="21">
        <v>21719</v>
      </c>
      <c r="E43" s="22">
        <f t="shared" ca="1" si="0"/>
        <v>62</v>
      </c>
      <c r="F43" s="20" t="str">
        <f t="shared" ca="1" si="1"/>
        <v>víc než 60</v>
      </c>
      <c r="G43" s="20" t="s">
        <v>174</v>
      </c>
      <c r="H43" s="20" t="s">
        <v>98</v>
      </c>
      <c r="I43" s="20" t="s">
        <v>115</v>
      </c>
    </row>
    <row r="44" spans="1:9" x14ac:dyDescent="0.2">
      <c r="A44" s="20" t="s">
        <v>180</v>
      </c>
      <c r="B44" s="20" t="s">
        <v>181</v>
      </c>
      <c r="C44" s="20" t="s">
        <v>114</v>
      </c>
      <c r="D44" s="21">
        <v>17056</v>
      </c>
      <c r="E44" s="22">
        <f t="shared" ca="1" si="0"/>
        <v>75</v>
      </c>
      <c r="F44" s="20" t="str">
        <f t="shared" ca="1" si="1"/>
        <v>víc než 60</v>
      </c>
      <c r="G44" s="20" t="s">
        <v>174</v>
      </c>
      <c r="H44" s="20" t="s">
        <v>118</v>
      </c>
      <c r="I44" s="20" t="s">
        <v>182</v>
      </c>
    </row>
    <row r="45" spans="1:9" x14ac:dyDescent="0.2">
      <c r="A45" s="20" t="s">
        <v>183</v>
      </c>
      <c r="B45" s="20" t="s">
        <v>8</v>
      </c>
      <c r="C45" s="20" t="s">
        <v>96</v>
      </c>
      <c r="D45" s="21">
        <v>27891</v>
      </c>
      <c r="E45" s="22">
        <f t="shared" ca="1" si="0"/>
        <v>45</v>
      </c>
      <c r="F45" s="20" t="str">
        <f t="shared" ca="1" si="1"/>
        <v>40-60</v>
      </c>
      <c r="G45" s="20" t="s">
        <v>174</v>
      </c>
      <c r="H45" s="20" t="s">
        <v>98</v>
      </c>
      <c r="I45" s="20" t="s">
        <v>115</v>
      </c>
    </row>
    <row r="46" spans="1:9" x14ac:dyDescent="0.2">
      <c r="A46" s="20" t="s">
        <v>184</v>
      </c>
      <c r="B46" s="20" t="s">
        <v>10</v>
      </c>
      <c r="C46" s="20" t="s">
        <v>96</v>
      </c>
      <c r="D46" s="21">
        <v>22192</v>
      </c>
      <c r="E46" s="22">
        <f t="shared" ca="1" si="0"/>
        <v>61</v>
      </c>
      <c r="F46" s="20" t="str">
        <f t="shared" ca="1" si="1"/>
        <v>víc než 60</v>
      </c>
      <c r="G46" s="20" t="s">
        <v>185</v>
      </c>
      <c r="H46" s="20" t="s">
        <v>98</v>
      </c>
      <c r="I46" s="20" t="s">
        <v>186</v>
      </c>
    </row>
    <row r="47" spans="1:9" x14ac:dyDescent="0.2">
      <c r="A47" s="20" t="s">
        <v>187</v>
      </c>
      <c r="B47" s="20" t="s">
        <v>10</v>
      </c>
      <c r="C47" s="20" t="s">
        <v>96</v>
      </c>
      <c r="D47" s="21">
        <v>23356</v>
      </c>
      <c r="E47" s="22">
        <f t="shared" ca="1" si="0"/>
        <v>58</v>
      </c>
      <c r="F47" s="20" t="str">
        <f t="shared" ca="1" si="1"/>
        <v>40-60</v>
      </c>
      <c r="G47" s="20" t="s">
        <v>185</v>
      </c>
      <c r="H47" s="20" t="s">
        <v>98</v>
      </c>
      <c r="I47" s="20" t="s">
        <v>186</v>
      </c>
    </row>
    <row r="48" spans="1:9" x14ac:dyDescent="0.2">
      <c r="A48" s="20" t="s">
        <v>188</v>
      </c>
      <c r="B48" s="20" t="s">
        <v>8</v>
      </c>
      <c r="C48" s="20" t="s">
        <v>96</v>
      </c>
      <c r="D48" s="21">
        <v>22857</v>
      </c>
      <c r="E48" s="22">
        <f t="shared" ca="1" si="0"/>
        <v>59</v>
      </c>
      <c r="F48" s="20" t="str">
        <f t="shared" ca="1" si="1"/>
        <v>40-60</v>
      </c>
      <c r="G48" s="20" t="s">
        <v>185</v>
      </c>
      <c r="H48" s="20" t="s">
        <v>98</v>
      </c>
      <c r="I48" s="20" t="s">
        <v>186</v>
      </c>
    </row>
    <row r="49" spans="1:18" x14ac:dyDescent="0.2">
      <c r="A49" s="20" t="s">
        <v>189</v>
      </c>
      <c r="B49" s="20" t="s">
        <v>8</v>
      </c>
      <c r="C49" s="20" t="s">
        <v>96</v>
      </c>
      <c r="D49" s="21">
        <v>26151</v>
      </c>
      <c r="E49" s="22">
        <f t="shared" ca="1" si="0"/>
        <v>50</v>
      </c>
      <c r="F49" s="20" t="str">
        <f t="shared" ca="1" si="1"/>
        <v>40-60</v>
      </c>
      <c r="G49" s="20" t="s">
        <v>185</v>
      </c>
      <c r="H49" s="20" t="s">
        <v>98</v>
      </c>
      <c r="I49" s="20" t="s">
        <v>186</v>
      </c>
    </row>
    <row r="50" spans="1:18" x14ac:dyDescent="0.2">
      <c r="A50" s="20" t="s">
        <v>190</v>
      </c>
      <c r="B50" s="20" t="s">
        <v>7</v>
      </c>
      <c r="C50" s="20" t="s">
        <v>96</v>
      </c>
      <c r="D50" s="21">
        <v>27178</v>
      </c>
      <c r="E50" s="22">
        <f t="shared" ca="1" si="0"/>
        <v>47</v>
      </c>
      <c r="F50" s="20" t="str">
        <f t="shared" ca="1" si="1"/>
        <v>40-60</v>
      </c>
      <c r="G50" s="20" t="s">
        <v>185</v>
      </c>
      <c r="H50" s="20" t="s">
        <v>98</v>
      </c>
      <c r="I50" s="20" t="s">
        <v>186</v>
      </c>
    </row>
    <row r="51" spans="1:18" x14ac:dyDescent="0.2">
      <c r="A51" s="20" t="s">
        <v>191</v>
      </c>
      <c r="B51" s="20" t="s">
        <v>21</v>
      </c>
      <c r="C51" s="20" t="s">
        <v>96</v>
      </c>
      <c r="D51" s="21">
        <v>18276</v>
      </c>
      <c r="E51" s="22">
        <f t="shared" ca="1" si="0"/>
        <v>71</v>
      </c>
      <c r="F51" s="20" t="str">
        <f t="shared" ca="1" si="1"/>
        <v>víc než 60</v>
      </c>
      <c r="G51" s="20" t="s">
        <v>185</v>
      </c>
      <c r="H51" s="20" t="s">
        <v>98</v>
      </c>
      <c r="I51" s="20" t="s">
        <v>192</v>
      </c>
    </row>
    <row r="52" spans="1:18" x14ac:dyDescent="0.2">
      <c r="A52" s="20" t="s">
        <v>193</v>
      </c>
      <c r="B52" s="20" t="s">
        <v>153</v>
      </c>
      <c r="C52" s="20" t="s">
        <v>114</v>
      </c>
      <c r="D52" s="21">
        <v>15089</v>
      </c>
      <c r="E52" s="22">
        <f t="shared" ca="1" si="0"/>
        <v>80</v>
      </c>
      <c r="F52" s="20" t="str">
        <f t="shared" ca="1" si="1"/>
        <v>víc než 60</v>
      </c>
      <c r="G52" s="20" t="s">
        <v>185</v>
      </c>
      <c r="H52" s="20" t="s">
        <v>98</v>
      </c>
      <c r="I52" s="20" t="s">
        <v>186</v>
      </c>
    </row>
    <row r="53" spans="1:18" x14ac:dyDescent="0.2">
      <c r="A53" s="20" t="s">
        <v>194</v>
      </c>
      <c r="B53" s="20" t="s">
        <v>11</v>
      </c>
      <c r="C53" s="20" t="s">
        <v>96</v>
      </c>
      <c r="D53" s="21">
        <v>16163</v>
      </c>
      <c r="E53" s="22">
        <f t="shared" ca="1" si="0"/>
        <v>77</v>
      </c>
      <c r="F53" s="20" t="str">
        <f t="shared" ca="1" si="1"/>
        <v>víc než 60</v>
      </c>
      <c r="G53" s="20" t="s">
        <v>185</v>
      </c>
      <c r="H53" s="20" t="s">
        <v>98</v>
      </c>
      <c r="I53" s="20" t="s">
        <v>186</v>
      </c>
    </row>
    <row r="54" spans="1:18" x14ac:dyDescent="0.2">
      <c r="A54" s="20" t="s">
        <v>195</v>
      </c>
      <c r="B54" s="20" t="s">
        <v>196</v>
      </c>
      <c r="C54" s="20" t="s">
        <v>114</v>
      </c>
      <c r="D54" s="21">
        <v>27390</v>
      </c>
      <c r="E54" s="22">
        <f t="shared" ca="1" si="0"/>
        <v>47</v>
      </c>
      <c r="F54" s="20" t="str">
        <f t="shared" ca="1" si="1"/>
        <v>40-60</v>
      </c>
      <c r="G54" s="20" t="s">
        <v>185</v>
      </c>
      <c r="H54" s="20" t="s">
        <v>98</v>
      </c>
      <c r="I54" s="20" t="s">
        <v>186</v>
      </c>
    </row>
    <row r="55" spans="1:18" x14ac:dyDescent="0.2">
      <c r="A55" s="20" t="s">
        <v>197</v>
      </c>
      <c r="B55" s="20" t="s">
        <v>12</v>
      </c>
      <c r="C55" s="20" t="s">
        <v>96</v>
      </c>
      <c r="D55" s="21">
        <v>23102</v>
      </c>
      <c r="E55" s="22">
        <f t="shared" ca="1" si="0"/>
        <v>58</v>
      </c>
      <c r="F55" s="20" t="str">
        <f t="shared" ca="1" si="1"/>
        <v>40-60</v>
      </c>
      <c r="G55" s="20" t="s">
        <v>198</v>
      </c>
      <c r="H55" s="20" t="s">
        <v>118</v>
      </c>
      <c r="I55" s="20" t="s">
        <v>199</v>
      </c>
    </row>
    <row r="56" spans="1:18" x14ac:dyDescent="0.2">
      <c r="A56" s="20" t="s">
        <v>200</v>
      </c>
      <c r="B56" s="20" t="s">
        <v>201</v>
      </c>
      <c r="C56" s="20" t="s">
        <v>114</v>
      </c>
      <c r="D56" s="21">
        <v>23707</v>
      </c>
      <c r="E56" s="22">
        <f t="shared" ca="1" si="0"/>
        <v>57</v>
      </c>
      <c r="F56" s="20" t="str">
        <f t="shared" ca="1" si="1"/>
        <v>40-60</v>
      </c>
      <c r="G56" s="20" t="s">
        <v>198</v>
      </c>
      <c r="H56" s="20" t="s">
        <v>118</v>
      </c>
      <c r="I56" s="20" t="s">
        <v>68</v>
      </c>
    </row>
    <row r="57" spans="1:18" x14ac:dyDescent="0.2">
      <c r="A57" s="20" t="s">
        <v>202</v>
      </c>
      <c r="B57" s="20" t="s">
        <v>147</v>
      </c>
      <c r="C57" s="20" t="s">
        <v>96</v>
      </c>
      <c r="D57" s="21">
        <v>23917</v>
      </c>
      <c r="E57" s="22">
        <f t="shared" ca="1" si="0"/>
        <v>56</v>
      </c>
      <c r="F57" s="20" t="str">
        <f t="shared" ca="1" si="1"/>
        <v>40-60</v>
      </c>
      <c r="G57" s="20" t="s">
        <v>198</v>
      </c>
      <c r="H57" s="20" t="s">
        <v>118</v>
      </c>
      <c r="I57" s="20" t="s">
        <v>203</v>
      </c>
    </row>
    <row r="58" spans="1:18" x14ac:dyDescent="0.2">
      <c r="A58" s="20" t="s">
        <v>204</v>
      </c>
      <c r="B58" s="20" t="s">
        <v>205</v>
      </c>
      <c r="C58" s="20" t="s">
        <v>96</v>
      </c>
      <c r="D58" s="21">
        <v>22219</v>
      </c>
      <c r="E58" s="22">
        <f t="shared" ca="1" si="0"/>
        <v>61</v>
      </c>
      <c r="F58" s="20" t="str">
        <f t="shared" ca="1" si="1"/>
        <v>víc než 60</v>
      </c>
      <c r="G58" s="20" t="s">
        <v>198</v>
      </c>
      <c r="H58" s="20" t="s">
        <v>118</v>
      </c>
      <c r="I58" s="20" t="s">
        <v>206</v>
      </c>
    </row>
    <row r="59" spans="1:18" x14ac:dyDescent="0.2">
      <c r="A59" s="20" t="s">
        <v>207</v>
      </c>
      <c r="B59" s="20" t="s">
        <v>162</v>
      </c>
      <c r="C59" s="20" t="s">
        <v>114</v>
      </c>
      <c r="D59" s="21">
        <v>22593</v>
      </c>
      <c r="E59" s="22">
        <f t="shared" ca="1" si="0"/>
        <v>60</v>
      </c>
      <c r="F59" s="20" t="str">
        <f t="shared" ca="1" si="1"/>
        <v>40-60</v>
      </c>
      <c r="G59" s="20" t="s">
        <v>198</v>
      </c>
      <c r="H59" s="20" t="s">
        <v>118</v>
      </c>
      <c r="I59" s="20" t="s">
        <v>206</v>
      </c>
    </row>
    <row r="60" spans="1:18" x14ac:dyDescent="0.2">
      <c r="A60" s="20" t="s">
        <v>208</v>
      </c>
      <c r="B60" s="20" t="s">
        <v>10</v>
      </c>
      <c r="C60" s="20" t="s">
        <v>96</v>
      </c>
      <c r="D60" s="21">
        <v>24204</v>
      </c>
      <c r="E60" s="22">
        <f t="shared" ca="1" si="0"/>
        <v>55</v>
      </c>
      <c r="F60" s="20" t="str">
        <f t="shared" ca="1" si="1"/>
        <v>40-60</v>
      </c>
      <c r="G60" s="20" t="s">
        <v>198</v>
      </c>
      <c r="H60" s="20" t="s">
        <v>98</v>
      </c>
      <c r="I60" s="20" t="s">
        <v>209</v>
      </c>
    </row>
    <row r="61" spans="1:18" ht="12.75" customHeight="1" x14ac:dyDescent="0.2">
      <c r="A61" s="20" t="s">
        <v>210</v>
      </c>
      <c r="B61" s="20" t="s">
        <v>122</v>
      </c>
      <c r="C61" s="20" t="s">
        <v>114</v>
      </c>
      <c r="D61" s="21">
        <v>26767</v>
      </c>
      <c r="E61" s="22">
        <f t="shared" ca="1" si="0"/>
        <v>48</v>
      </c>
      <c r="F61" s="20" t="str">
        <f t="shared" ca="1" si="1"/>
        <v>40-60</v>
      </c>
      <c r="G61" s="20" t="s">
        <v>198</v>
      </c>
      <c r="H61" s="20" t="s">
        <v>118</v>
      </c>
      <c r="I61" s="20" t="s">
        <v>211</v>
      </c>
      <c r="L61" s="23" t="s">
        <v>212</v>
      </c>
      <c r="M61" s="23"/>
      <c r="N61" s="23"/>
      <c r="O61" s="23"/>
      <c r="P61" s="23"/>
      <c r="Q61" s="23"/>
      <c r="R61" s="23"/>
    </row>
    <row r="62" spans="1:18" ht="12.75" customHeight="1" x14ac:dyDescent="0.2">
      <c r="A62" s="20" t="s">
        <v>213</v>
      </c>
      <c r="B62" s="20" t="s">
        <v>137</v>
      </c>
      <c r="C62" s="20" t="s">
        <v>114</v>
      </c>
      <c r="D62" s="21">
        <v>17126</v>
      </c>
      <c r="E62" s="22">
        <f t="shared" ca="1" si="0"/>
        <v>75</v>
      </c>
      <c r="F62" s="20" t="str">
        <f t="shared" ca="1" si="1"/>
        <v>víc než 60</v>
      </c>
      <c r="G62" s="20" t="s">
        <v>198</v>
      </c>
      <c r="H62" s="20" t="s">
        <v>98</v>
      </c>
      <c r="I62" s="20" t="s">
        <v>115</v>
      </c>
      <c r="L62" s="23"/>
      <c r="M62" s="23"/>
      <c r="N62" s="23"/>
      <c r="O62" s="23"/>
      <c r="P62" s="23"/>
      <c r="Q62" s="23"/>
      <c r="R62" s="23"/>
    </row>
    <row r="63" spans="1:18" ht="12.75" customHeight="1" x14ac:dyDescent="0.2">
      <c r="A63" s="20" t="s">
        <v>214</v>
      </c>
      <c r="B63" s="20" t="s">
        <v>122</v>
      </c>
      <c r="C63" s="20" t="s">
        <v>114</v>
      </c>
      <c r="D63" s="21">
        <v>21362</v>
      </c>
      <c r="E63" s="22">
        <f t="shared" ca="1" si="0"/>
        <v>63</v>
      </c>
      <c r="F63" s="20" t="str">
        <f t="shared" ca="1" si="1"/>
        <v>víc než 60</v>
      </c>
      <c r="G63" s="20" t="s">
        <v>198</v>
      </c>
      <c r="H63" s="20" t="s">
        <v>118</v>
      </c>
      <c r="I63" s="20" t="s">
        <v>70</v>
      </c>
      <c r="L63" s="24" t="s">
        <v>215</v>
      </c>
      <c r="M63" s="24"/>
      <c r="N63" s="24"/>
      <c r="O63" s="24"/>
      <c r="P63" s="24"/>
      <c r="Q63" s="24"/>
      <c r="R63" s="24"/>
    </row>
    <row r="64" spans="1:18" ht="12.75" customHeight="1" x14ac:dyDescent="0.2">
      <c r="A64" s="20" t="s">
        <v>216</v>
      </c>
      <c r="B64" s="20" t="s">
        <v>15</v>
      </c>
      <c r="C64" s="20" t="s">
        <v>96</v>
      </c>
      <c r="D64" s="21">
        <v>21699</v>
      </c>
      <c r="E64" s="22">
        <f t="shared" ca="1" si="0"/>
        <v>62</v>
      </c>
      <c r="F64" s="20" t="str">
        <f t="shared" ca="1" si="1"/>
        <v>víc než 60</v>
      </c>
      <c r="G64" s="20" t="s">
        <v>198</v>
      </c>
      <c r="H64" s="20" t="s">
        <v>98</v>
      </c>
      <c r="I64" s="20" t="s">
        <v>217</v>
      </c>
      <c r="L64" s="24"/>
      <c r="M64" s="24"/>
      <c r="N64" s="24"/>
      <c r="O64" s="24"/>
      <c r="P64" s="24"/>
      <c r="Q64" s="24"/>
      <c r="R64" s="24"/>
    </row>
    <row r="65" spans="1:9" x14ac:dyDescent="0.2">
      <c r="A65" s="20" t="s">
        <v>175</v>
      </c>
      <c r="B65" s="20" t="s">
        <v>10</v>
      </c>
      <c r="C65" s="20" t="s">
        <v>96</v>
      </c>
      <c r="D65" s="21">
        <v>20354</v>
      </c>
      <c r="E65" s="22">
        <f t="shared" ca="1" si="0"/>
        <v>66</v>
      </c>
      <c r="F65" s="20" t="str">
        <f t="shared" ca="1" si="1"/>
        <v>víc než 60</v>
      </c>
      <c r="G65" s="20" t="s">
        <v>198</v>
      </c>
      <c r="H65" s="20" t="s">
        <v>118</v>
      </c>
      <c r="I65" s="20" t="s">
        <v>218</v>
      </c>
    </row>
    <row r="66" spans="1:9" x14ac:dyDescent="0.2">
      <c r="A66" s="20" t="s">
        <v>219</v>
      </c>
      <c r="B66" s="20" t="s">
        <v>19</v>
      </c>
      <c r="C66" s="20" t="s">
        <v>96</v>
      </c>
      <c r="D66" s="21">
        <v>17718</v>
      </c>
      <c r="E66" s="22">
        <f t="shared" ca="1" si="0"/>
        <v>73</v>
      </c>
      <c r="F66" s="20" t="str">
        <f t="shared" ca="1" si="1"/>
        <v>víc než 60</v>
      </c>
      <c r="G66" s="20" t="s">
        <v>198</v>
      </c>
      <c r="H66" s="20" t="s">
        <v>118</v>
      </c>
      <c r="I66" s="20" t="s">
        <v>218</v>
      </c>
    </row>
    <row r="67" spans="1:9" x14ac:dyDescent="0.2">
      <c r="A67" s="20" t="s">
        <v>220</v>
      </c>
      <c r="B67" s="20" t="s">
        <v>221</v>
      </c>
      <c r="C67" s="20" t="s">
        <v>114</v>
      </c>
      <c r="D67" s="21">
        <v>15751</v>
      </c>
      <c r="E67" s="22">
        <f t="shared" ref="E67:E101" ca="1" si="2">YEAR(TODAY())-YEAR(D67)</f>
        <v>78</v>
      </c>
      <c r="F67" s="20" t="str">
        <f t="shared" ca="1" si="1"/>
        <v>víc než 60</v>
      </c>
      <c r="G67" s="20" t="s">
        <v>198</v>
      </c>
      <c r="H67" s="20" t="s">
        <v>118</v>
      </c>
      <c r="I67" s="20" t="s">
        <v>206</v>
      </c>
    </row>
    <row r="68" spans="1:9" x14ac:dyDescent="0.2">
      <c r="A68" s="20" t="s">
        <v>27</v>
      </c>
      <c r="B68" s="20" t="s">
        <v>10</v>
      </c>
      <c r="C68" s="20" t="s">
        <v>96</v>
      </c>
      <c r="D68" s="21">
        <v>15350</v>
      </c>
      <c r="E68" s="22">
        <f t="shared" ca="1" si="2"/>
        <v>79</v>
      </c>
      <c r="F68" s="20" t="str">
        <f t="shared" ref="F68:F101" ca="1" si="3">IF(E68&lt;=25,"méně než 25",IF(E68&lt;=40,"25-40",IF(E68&lt;=60,"40-60","víc než 60")))</f>
        <v>víc než 60</v>
      </c>
      <c r="G68" s="20" t="s">
        <v>198</v>
      </c>
      <c r="H68" s="20" t="s">
        <v>118</v>
      </c>
      <c r="I68" s="20" t="s">
        <v>222</v>
      </c>
    </row>
    <row r="69" spans="1:9" x14ac:dyDescent="0.2">
      <c r="A69" s="20" t="s">
        <v>223</v>
      </c>
      <c r="B69" s="20" t="s">
        <v>224</v>
      </c>
      <c r="C69" s="20" t="s">
        <v>96</v>
      </c>
      <c r="D69" s="21">
        <v>25534</v>
      </c>
      <c r="E69" s="22">
        <f t="shared" ca="1" si="2"/>
        <v>52</v>
      </c>
      <c r="F69" s="20" t="str">
        <f t="shared" ca="1" si="3"/>
        <v>40-60</v>
      </c>
      <c r="G69" s="20" t="s">
        <v>225</v>
      </c>
      <c r="H69" s="20" t="s">
        <v>98</v>
      </c>
      <c r="I69" s="20" t="s">
        <v>226</v>
      </c>
    </row>
    <row r="70" spans="1:9" x14ac:dyDescent="0.2">
      <c r="A70" s="20" t="s">
        <v>227</v>
      </c>
      <c r="B70" s="20" t="s">
        <v>21</v>
      </c>
      <c r="C70" s="20" t="s">
        <v>96</v>
      </c>
      <c r="D70" s="21">
        <v>22329</v>
      </c>
      <c r="E70" s="22">
        <f t="shared" ca="1" si="2"/>
        <v>60</v>
      </c>
      <c r="F70" s="20" t="str">
        <f t="shared" ca="1" si="3"/>
        <v>40-60</v>
      </c>
      <c r="G70" s="20" t="s">
        <v>225</v>
      </c>
      <c r="H70" s="20" t="s">
        <v>98</v>
      </c>
      <c r="I70" s="20" t="s">
        <v>226</v>
      </c>
    </row>
    <row r="71" spans="1:9" x14ac:dyDescent="0.2">
      <c r="A71" s="20" t="s">
        <v>228</v>
      </c>
      <c r="B71" s="20" t="s">
        <v>7</v>
      </c>
      <c r="C71" s="20" t="s">
        <v>96</v>
      </c>
      <c r="D71" s="21">
        <v>27014</v>
      </c>
      <c r="E71" s="22">
        <f t="shared" ca="1" si="2"/>
        <v>48</v>
      </c>
      <c r="F71" s="20" t="str">
        <f t="shared" ca="1" si="3"/>
        <v>40-60</v>
      </c>
      <c r="G71" s="20" t="s">
        <v>225</v>
      </c>
      <c r="H71" s="20" t="s">
        <v>98</v>
      </c>
      <c r="I71" s="20" t="s">
        <v>226</v>
      </c>
    </row>
    <row r="72" spans="1:9" x14ac:dyDescent="0.2">
      <c r="A72" s="20" t="s">
        <v>229</v>
      </c>
      <c r="B72" s="20" t="s">
        <v>139</v>
      </c>
      <c r="C72" s="20" t="s">
        <v>96</v>
      </c>
      <c r="D72" s="21">
        <v>22379</v>
      </c>
      <c r="E72" s="22">
        <f t="shared" ca="1" si="2"/>
        <v>60</v>
      </c>
      <c r="F72" s="20" t="str">
        <f t="shared" ca="1" si="3"/>
        <v>40-60</v>
      </c>
      <c r="G72" s="20" t="s">
        <v>225</v>
      </c>
      <c r="H72" s="20" t="s">
        <v>98</v>
      </c>
      <c r="I72" s="20" t="s">
        <v>226</v>
      </c>
    </row>
    <row r="73" spans="1:9" x14ac:dyDescent="0.2">
      <c r="A73" s="20" t="s">
        <v>230</v>
      </c>
      <c r="B73" s="20" t="s">
        <v>7</v>
      </c>
      <c r="C73" s="20" t="s">
        <v>96</v>
      </c>
      <c r="D73" s="21">
        <v>26092</v>
      </c>
      <c r="E73" s="22">
        <f t="shared" ca="1" si="2"/>
        <v>50</v>
      </c>
      <c r="F73" s="20" t="str">
        <f t="shared" ca="1" si="3"/>
        <v>40-60</v>
      </c>
      <c r="G73" s="20" t="s">
        <v>225</v>
      </c>
      <c r="H73" s="20" t="s">
        <v>98</v>
      </c>
      <c r="I73" s="20" t="s">
        <v>226</v>
      </c>
    </row>
    <row r="74" spans="1:9" x14ac:dyDescent="0.2">
      <c r="A74" s="20" t="s">
        <v>231</v>
      </c>
      <c r="B74" s="20" t="s">
        <v>232</v>
      </c>
      <c r="C74" s="20" t="s">
        <v>96</v>
      </c>
      <c r="D74" s="21">
        <v>21899</v>
      </c>
      <c r="E74" s="22">
        <f t="shared" ca="1" si="2"/>
        <v>62</v>
      </c>
      <c r="F74" s="20" t="str">
        <f t="shared" ca="1" si="3"/>
        <v>víc než 60</v>
      </c>
      <c r="G74" s="20" t="s">
        <v>225</v>
      </c>
      <c r="H74" s="20" t="s">
        <v>98</v>
      </c>
      <c r="I74" s="20" t="s">
        <v>233</v>
      </c>
    </row>
    <row r="75" spans="1:9" x14ac:dyDescent="0.2">
      <c r="A75" s="20" t="s">
        <v>234</v>
      </c>
      <c r="B75" s="20" t="s">
        <v>137</v>
      </c>
      <c r="C75" s="20" t="s">
        <v>114</v>
      </c>
      <c r="D75" s="21">
        <v>25329</v>
      </c>
      <c r="E75" s="22">
        <f t="shared" ca="1" si="2"/>
        <v>52</v>
      </c>
      <c r="F75" s="20" t="str">
        <f t="shared" ca="1" si="3"/>
        <v>40-60</v>
      </c>
      <c r="G75" s="20" t="s">
        <v>225</v>
      </c>
      <c r="H75" s="20" t="s">
        <v>98</v>
      </c>
      <c r="I75" s="20" t="s">
        <v>233</v>
      </c>
    </row>
    <row r="76" spans="1:9" x14ac:dyDescent="0.2">
      <c r="A76" s="20" t="s">
        <v>235</v>
      </c>
      <c r="B76" s="20" t="s">
        <v>15</v>
      </c>
      <c r="C76" s="20" t="s">
        <v>96</v>
      </c>
      <c r="D76" s="21">
        <v>26316</v>
      </c>
      <c r="E76" s="22">
        <f t="shared" ca="1" si="2"/>
        <v>49</v>
      </c>
      <c r="F76" s="20" t="str">
        <f t="shared" ca="1" si="3"/>
        <v>40-60</v>
      </c>
      <c r="G76" s="20" t="s">
        <v>225</v>
      </c>
      <c r="H76" s="20" t="s">
        <v>98</v>
      </c>
      <c r="I76" s="20" t="s">
        <v>233</v>
      </c>
    </row>
    <row r="77" spans="1:9" x14ac:dyDescent="0.2">
      <c r="A77" s="20" t="s">
        <v>236</v>
      </c>
      <c r="B77" s="20" t="s">
        <v>9</v>
      </c>
      <c r="C77" s="20" t="s">
        <v>96</v>
      </c>
      <c r="D77" s="21">
        <v>21905</v>
      </c>
      <c r="E77" s="22">
        <f t="shared" ca="1" si="2"/>
        <v>62</v>
      </c>
      <c r="F77" s="20" t="str">
        <f t="shared" ca="1" si="3"/>
        <v>víc než 60</v>
      </c>
      <c r="G77" s="20" t="s">
        <v>225</v>
      </c>
      <c r="H77" s="20" t="s">
        <v>98</v>
      </c>
      <c r="I77" s="20" t="s">
        <v>237</v>
      </c>
    </row>
    <row r="78" spans="1:9" x14ac:dyDescent="0.2">
      <c r="A78" s="20" t="s">
        <v>238</v>
      </c>
      <c r="B78" s="20" t="s">
        <v>10</v>
      </c>
      <c r="C78" s="20" t="s">
        <v>96</v>
      </c>
      <c r="D78" s="21">
        <v>24340</v>
      </c>
      <c r="E78" s="22">
        <f t="shared" ca="1" si="2"/>
        <v>55</v>
      </c>
      <c r="F78" s="20" t="str">
        <f t="shared" ca="1" si="3"/>
        <v>40-60</v>
      </c>
      <c r="G78" s="20" t="s">
        <v>225</v>
      </c>
      <c r="H78" s="20" t="s">
        <v>98</v>
      </c>
      <c r="I78" s="20" t="s">
        <v>237</v>
      </c>
    </row>
    <row r="79" spans="1:9" x14ac:dyDescent="0.2">
      <c r="A79" s="20" t="s">
        <v>239</v>
      </c>
      <c r="B79" s="20" t="s">
        <v>240</v>
      </c>
      <c r="C79" s="20" t="s">
        <v>96</v>
      </c>
      <c r="D79" s="21">
        <v>26258</v>
      </c>
      <c r="E79" s="22">
        <f t="shared" ca="1" si="2"/>
        <v>50</v>
      </c>
      <c r="F79" s="20" t="str">
        <f t="shared" ca="1" si="3"/>
        <v>40-60</v>
      </c>
      <c r="G79" s="20" t="s">
        <v>225</v>
      </c>
      <c r="H79" s="20" t="s">
        <v>98</v>
      </c>
      <c r="I79" s="20" t="s">
        <v>192</v>
      </c>
    </row>
    <row r="80" spans="1:9" x14ac:dyDescent="0.2">
      <c r="A80" s="20" t="s">
        <v>241</v>
      </c>
      <c r="B80" s="20" t="s">
        <v>242</v>
      </c>
      <c r="C80" s="20" t="s">
        <v>114</v>
      </c>
      <c r="D80" s="21">
        <v>22866</v>
      </c>
      <c r="E80" s="22">
        <f t="shared" ca="1" si="2"/>
        <v>59</v>
      </c>
      <c r="F80" s="20" t="str">
        <f t="shared" ca="1" si="3"/>
        <v>40-60</v>
      </c>
      <c r="G80" s="20" t="s">
        <v>225</v>
      </c>
      <c r="H80" s="20" t="s">
        <v>98</v>
      </c>
      <c r="I80" s="20" t="s">
        <v>243</v>
      </c>
    </row>
    <row r="81" spans="1:9" x14ac:dyDescent="0.2">
      <c r="A81" s="20" t="s">
        <v>244</v>
      </c>
      <c r="B81" s="20" t="s">
        <v>245</v>
      </c>
      <c r="C81" s="20" t="s">
        <v>96</v>
      </c>
      <c r="D81" s="21">
        <v>23599</v>
      </c>
      <c r="E81" s="22">
        <f t="shared" ca="1" si="2"/>
        <v>57</v>
      </c>
      <c r="F81" s="20" t="str">
        <f t="shared" ca="1" si="3"/>
        <v>40-60</v>
      </c>
      <c r="G81" s="20" t="s">
        <v>225</v>
      </c>
      <c r="H81" s="20" t="s">
        <v>98</v>
      </c>
      <c r="I81" s="20" t="s">
        <v>246</v>
      </c>
    </row>
    <row r="82" spans="1:9" x14ac:dyDescent="0.2">
      <c r="A82" s="20" t="s">
        <v>247</v>
      </c>
      <c r="B82" s="20" t="s">
        <v>12</v>
      </c>
      <c r="C82" s="20" t="s">
        <v>96</v>
      </c>
      <c r="D82" s="21">
        <v>25526</v>
      </c>
      <c r="E82" s="22">
        <f t="shared" ca="1" si="2"/>
        <v>52</v>
      </c>
      <c r="F82" s="20" t="str">
        <f t="shared" ca="1" si="3"/>
        <v>40-60</v>
      </c>
      <c r="G82" s="20" t="s">
        <v>225</v>
      </c>
      <c r="H82" s="20" t="s">
        <v>98</v>
      </c>
      <c r="I82" s="20" t="s">
        <v>246</v>
      </c>
    </row>
    <row r="83" spans="1:9" x14ac:dyDescent="0.2">
      <c r="A83" s="20" t="s">
        <v>248</v>
      </c>
      <c r="B83" s="20" t="s">
        <v>205</v>
      </c>
      <c r="C83" s="20" t="s">
        <v>96</v>
      </c>
      <c r="D83" s="21">
        <v>22297</v>
      </c>
      <c r="E83" s="22">
        <f t="shared" ca="1" si="2"/>
        <v>60</v>
      </c>
      <c r="F83" s="20" t="str">
        <f t="shared" ca="1" si="3"/>
        <v>40-60</v>
      </c>
      <c r="G83" s="20" t="s">
        <v>225</v>
      </c>
      <c r="H83" s="20" t="s">
        <v>118</v>
      </c>
      <c r="I83" s="20" t="s">
        <v>249</v>
      </c>
    </row>
    <row r="84" spans="1:9" x14ac:dyDescent="0.2">
      <c r="A84" s="20" t="s">
        <v>250</v>
      </c>
      <c r="B84" s="20" t="s">
        <v>251</v>
      </c>
      <c r="C84" s="20" t="s">
        <v>96</v>
      </c>
      <c r="D84" s="21">
        <v>22190</v>
      </c>
      <c r="E84" s="22">
        <f t="shared" ca="1" si="2"/>
        <v>61</v>
      </c>
      <c r="F84" s="20" t="str">
        <f t="shared" ca="1" si="3"/>
        <v>víc než 60</v>
      </c>
      <c r="G84" s="20" t="s">
        <v>225</v>
      </c>
      <c r="H84" s="20" t="s">
        <v>118</v>
      </c>
      <c r="I84" s="20" t="s">
        <v>252</v>
      </c>
    </row>
    <row r="85" spans="1:9" x14ac:dyDescent="0.2">
      <c r="A85" s="20" t="s">
        <v>253</v>
      </c>
      <c r="B85" s="20" t="s">
        <v>254</v>
      </c>
      <c r="C85" s="20" t="s">
        <v>114</v>
      </c>
      <c r="D85" s="21">
        <v>23234</v>
      </c>
      <c r="E85" s="22">
        <f t="shared" ca="1" si="2"/>
        <v>58</v>
      </c>
      <c r="F85" s="20" t="str">
        <f t="shared" ca="1" si="3"/>
        <v>40-60</v>
      </c>
      <c r="G85" s="20" t="s">
        <v>225</v>
      </c>
      <c r="H85" s="20" t="s">
        <v>98</v>
      </c>
      <c r="I85" s="20" t="s">
        <v>209</v>
      </c>
    </row>
    <row r="86" spans="1:9" x14ac:dyDescent="0.2">
      <c r="A86" s="20" t="s">
        <v>255</v>
      </c>
      <c r="B86" s="20" t="s">
        <v>20</v>
      </c>
      <c r="C86" s="20" t="s">
        <v>96</v>
      </c>
      <c r="D86" s="21">
        <v>24327</v>
      </c>
      <c r="E86" s="22">
        <f t="shared" ca="1" si="2"/>
        <v>55</v>
      </c>
      <c r="F86" s="20" t="str">
        <f t="shared" ca="1" si="3"/>
        <v>40-60</v>
      </c>
      <c r="G86" s="20" t="s">
        <v>225</v>
      </c>
      <c r="H86" s="20" t="s">
        <v>98</v>
      </c>
      <c r="I86" s="20" t="s">
        <v>256</v>
      </c>
    </row>
    <row r="87" spans="1:9" x14ac:dyDescent="0.2">
      <c r="A87" s="20" t="s">
        <v>257</v>
      </c>
      <c r="B87" s="20" t="s">
        <v>11</v>
      </c>
      <c r="C87" s="20" t="s">
        <v>96</v>
      </c>
      <c r="D87" s="21">
        <v>22943</v>
      </c>
      <c r="E87" s="22">
        <f t="shared" ca="1" si="2"/>
        <v>59</v>
      </c>
      <c r="F87" s="20" t="str">
        <f t="shared" ca="1" si="3"/>
        <v>40-60</v>
      </c>
      <c r="G87" s="20" t="s">
        <v>225</v>
      </c>
      <c r="H87" s="20" t="s">
        <v>98</v>
      </c>
      <c r="I87" s="20" t="s">
        <v>256</v>
      </c>
    </row>
    <row r="88" spans="1:9" x14ac:dyDescent="0.2">
      <c r="A88" s="20" t="s">
        <v>258</v>
      </c>
      <c r="B88" s="20" t="s">
        <v>259</v>
      </c>
      <c r="C88" s="20" t="s">
        <v>96</v>
      </c>
      <c r="D88" s="21">
        <v>16799</v>
      </c>
      <c r="E88" s="22">
        <f t="shared" ca="1" si="2"/>
        <v>76</v>
      </c>
      <c r="F88" s="20" t="str">
        <f t="shared" ca="1" si="3"/>
        <v>víc než 60</v>
      </c>
      <c r="G88" s="20" t="s">
        <v>225</v>
      </c>
      <c r="H88" s="20" t="s">
        <v>98</v>
      </c>
      <c r="I88" s="20" t="s">
        <v>226</v>
      </c>
    </row>
    <row r="89" spans="1:9" x14ac:dyDescent="0.2">
      <c r="A89" s="20" t="s">
        <v>260</v>
      </c>
      <c r="B89" s="20" t="s">
        <v>15</v>
      </c>
      <c r="C89" s="20" t="s">
        <v>96</v>
      </c>
      <c r="D89" s="21">
        <v>16288</v>
      </c>
      <c r="E89" s="22">
        <f t="shared" ca="1" si="2"/>
        <v>77</v>
      </c>
      <c r="F89" s="20" t="str">
        <f t="shared" ca="1" si="3"/>
        <v>víc než 60</v>
      </c>
      <c r="G89" s="20" t="s">
        <v>225</v>
      </c>
      <c r="H89" s="20" t="s">
        <v>98</v>
      </c>
      <c r="I89" s="20" t="s">
        <v>261</v>
      </c>
    </row>
    <row r="90" spans="1:9" x14ac:dyDescent="0.2">
      <c r="A90" s="20" t="s">
        <v>262</v>
      </c>
      <c r="B90" s="20" t="s">
        <v>11</v>
      </c>
      <c r="C90" s="20" t="s">
        <v>96</v>
      </c>
      <c r="D90" s="21">
        <v>16774</v>
      </c>
      <c r="E90" s="22">
        <f t="shared" ca="1" si="2"/>
        <v>76</v>
      </c>
      <c r="F90" s="20" t="str">
        <f t="shared" ca="1" si="3"/>
        <v>víc než 60</v>
      </c>
      <c r="G90" s="20" t="s">
        <v>225</v>
      </c>
      <c r="H90" s="20" t="s">
        <v>98</v>
      </c>
      <c r="I90" s="20" t="s">
        <v>261</v>
      </c>
    </row>
    <row r="91" spans="1:9" x14ac:dyDescent="0.2">
      <c r="A91" s="20" t="s">
        <v>263</v>
      </c>
      <c r="B91" s="20" t="s">
        <v>12</v>
      </c>
      <c r="C91" s="20" t="s">
        <v>96</v>
      </c>
      <c r="D91" s="21">
        <v>15239</v>
      </c>
      <c r="E91" s="22">
        <f t="shared" ca="1" si="2"/>
        <v>80</v>
      </c>
      <c r="F91" s="20" t="str">
        <f t="shared" ca="1" si="3"/>
        <v>víc než 60</v>
      </c>
      <c r="G91" s="20" t="s">
        <v>225</v>
      </c>
      <c r="H91" s="20" t="s">
        <v>98</v>
      </c>
      <c r="I91" s="20" t="s">
        <v>261</v>
      </c>
    </row>
    <row r="92" spans="1:9" x14ac:dyDescent="0.2">
      <c r="A92" s="20" t="s">
        <v>264</v>
      </c>
      <c r="B92" s="20" t="s">
        <v>176</v>
      </c>
      <c r="C92" s="20" t="s">
        <v>96</v>
      </c>
      <c r="D92" s="21">
        <v>19253</v>
      </c>
      <c r="E92" s="22">
        <f t="shared" ca="1" si="2"/>
        <v>69</v>
      </c>
      <c r="F92" s="20" t="str">
        <f t="shared" ca="1" si="3"/>
        <v>víc než 60</v>
      </c>
      <c r="G92" s="20" t="s">
        <v>225</v>
      </c>
      <c r="H92" s="20" t="s">
        <v>98</v>
      </c>
      <c r="I92" s="20" t="s">
        <v>261</v>
      </c>
    </row>
    <row r="93" spans="1:9" x14ac:dyDescent="0.2">
      <c r="A93" s="20" t="s">
        <v>265</v>
      </c>
      <c r="B93" s="20" t="s">
        <v>266</v>
      </c>
      <c r="C93" s="20" t="s">
        <v>96</v>
      </c>
      <c r="D93" s="21">
        <v>15027</v>
      </c>
      <c r="E93" s="22">
        <f t="shared" ca="1" si="2"/>
        <v>80</v>
      </c>
      <c r="F93" s="20" t="str">
        <f t="shared" ca="1" si="3"/>
        <v>víc než 60</v>
      </c>
      <c r="G93" s="20" t="s">
        <v>225</v>
      </c>
      <c r="H93" s="20" t="s">
        <v>98</v>
      </c>
      <c r="I93" s="20" t="s">
        <v>237</v>
      </c>
    </row>
    <row r="94" spans="1:9" x14ac:dyDescent="0.2">
      <c r="A94" s="20" t="s">
        <v>267</v>
      </c>
      <c r="B94" s="20" t="s">
        <v>268</v>
      </c>
      <c r="C94" s="20" t="s">
        <v>114</v>
      </c>
      <c r="D94" s="21">
        <v>17089</v>
      </c>
      <c r="E94" s="22">
        <f t="shared" ca="1" si="2"/>
        <v>75</v>
      </c>
      <c r="F94" s="20" t="str">
        <f t="shared" ca="1" si="3"/>
        <v>víc než 60</v>
      </c>
      <c r="G94" s="20" t="s">
        <v>225</v>
      </c>
      <c r="H94" s="20" t="s">
        <v>98</v>
      </c>
      <c r="I94" s="20" t="s">
        <v>192</v>
      </c>
    </row>
    <row r="95" spans="1:9" x14ac:dyDescent="0.2">
      <c r="A95" s="20" t="s">
        <v>269</v>
      </c>
      <c r="B95" s="20" t="s">
        <v>245</v>
      </c>
      <c r="C95" s="20" t="s">
        <v>96</v>
      </c>
      <c r="D95" s="21">
        <v>20598</v>
      </c>
      <c r="E95" s="22">
        <f t="shared" ca="1" si="2"/>
        <v>65</v>
      </c>
      <c r="F95" s="20" t="str">
        <f t="shared" ca="1" si="3"/>
        <v>víc než 60</v>
      </c>
      <c r="G95" s="20" t="s">
        <v>225</v>
      </c>
      <c r="H95" s="20" t="s">
        <v>98</v>
      </c>
      <c r="I95" s="20" t="s">
        <v>246</v>
      </c>
    </row>
    <row r="96" spans="1:9" x14ac:dyDescent="0.2">
      <c r="A96" s="20" t="s">
        <v>270</v>
      </c>
      <c r="B96" s="20" t="s">
        <v>10</v>
      </c>
      <c r="C96" s="20" t="s">
        <v>96</v>
      </c>
      <c r="D96" s="21">
        <v>20129</v>
      </c>
      <c r="E96" s="22">
        <f t="shared" ca="1" si="2"/>
        <v>66</v>
      </c>
      <c r="F96" s="20" t="str">
        <f t="shared" ca="1" si="3"/>
        <v>víc než 60</v>
      </c>
      <c r="G96" s="20" t="s">
        <v>225</v>
      </c>
      <c r="H96" s="20" t="s">
        <v>118</v>
      </c>
      <c r="I96" s="20" t="s">
        <v>271</v>
      </c>
    </row>
    <row r="97" spans="1:9" x14ac:dyDescent="0.2">
      <c r="A97" s="20" t="s">
        <v>272</v>
      </c>
      <c r="B97" s="20" t="s">
        <v>221</v>
      </c>
      <c r="C97" s="20" t="s">
        <v>114</v>
      </c>
      <c r="D97" s="21">
        <v>16649</v>
      </c>
      <c r="E97" s="22">
        <f t="shared" ca="1" si="2"/>
        <v>76</v>
      </c>
      <c r="F97" s="20" t="str">
        <f t="shared" ca="1" si="3"/>
        <v>víc než 60</v>
      </c>
      <c r="G97" s="20" t="s">
        <v>225</v>
      </c>
      <c r="H97" s="20" t="s">
        <v>98</v>
      </c>
      <c r="I97" s="20" t="s">
        <v>209</v>
      </c>
    </row>
    <row r="98" spans="1:9" x14ac:dyDescent="0.2">
      <c r="A98" s="20" t="s">
        <v>273</v>
      </c>
      <c r="B98" s="20" t="s">
        <v>274</v>
      </c>
      <c r="C98" s="20" t="s">
        <v>96</v>
      </c>
      <c r="D98" s="21">
        <v>16571</v>
      </c>
      <c r="E98" s="22">
        <f t="shared" ca="1" si="2"/>
        <v>76</v>
      </c>
      <c r="F98" s="20" t="str">
        <f t="shared" ca="1" si="3"/>
        <v>víc než 60</v>
      </c>
      <c r="G98" s="20" t="s">
        <v>225</v>
      </c>
      <c r="H98" s="20" t="s">
        <v>118</v>
      </c>
      <c r="I98" s="20" t="s">
        <v>275</v>
      </c>
    </row>
    <row r="99" spans="1:9" x14ac:dyDescent="0.2">
      <c r="A99" s="20" t="s">
        <v>276</v>
      </c>
      <c r="B99" s="20" t="s">
        <v>147</v>
      </c>
      <c r="C99" s="20" t="s">
        <v>96</v>
      </c>
      <c r="D99" s="21">
        <v>16604</v>
      </c>
      <c r="E99" s="22">
        <f t="shared" ca="1" si="2"/>
        <v>76</v>
      </c>
      <c r="F99" s="20" t="str">
        <f t="shared" ca="1" si="3"/>
        <v>víc než 60</v>
      </c>
      <c r="G99" s="20" t="s">
        <v>225</v>
      </c>
      <c r="H99" s="20" t="s">
        <v>98</v>
      </c>
      <c r="I99" s="20" t="s">
        <v>256</v>
      </c>
    </row>
    <row r="100" spans="1:9" x14ac:dyDescent="0.2">
      <c r="A100" s="20" t="s">
        <v>277</v>
      </c>
      <c r="B100" s="20" t="s">
        <v>268</v>
      </c>
      <c r="C100" s="20" t="s">
        <v>114</v>
      </c>
      <c r="D100" s="21">
        <v>27901</v>
      </c>
      <c r="E100" s="22">
        <f t="shared" ca="1" si="2"/>
        <v>45</v>
      </c>
      <c r="F100" s="20" t="str">
        <f t="shared" ca="1" si="3"/>
        <v>40-60</v>
      </c>
      <c r="G100" s="20" t="s">
        <v>225</v>
      </c>
      <c r="H100" s="20" t="s">
        <v>98</v>
      </c>
      <c r="I100" s="20" t="s">
        <v>209</v>
      </c>
    </row>
    <row r="101" spans="1:9" x14ac:dyDescent="0.2">
      <c r="A101" s="20" t="s">
        <v>10</v>
      </c>
      <c r="B101" s="20" t="s">
        <v>278</v>
      </c>
      <c r="C101" s="20" t="s">
        <v>96</v>
      </c>
      <c r="D101" s="21">
        <v>19798</v>
      </c>
      <c r="E101" s="22">
        <f t="shared" ca="1" si="2"/>
        <v>67</v>
      </c>
      <c r="F101" s="20" t="str">
        <f t="shared" ca="1" si="3"/>
        <v>víc než 60</v>
      </c>
      <c r="G101" s="20" t="s">
        <v>97</v>
      </c>
      <c r="H101" s="20" t="s">
        <v>98</v>
      </c>
      <c r="I101" s="20" t="s">
        <v>279</v>
      </c>
    </row>
  </sheetData>
  <mergeCells count="2">
    <mergeCell ref="L61:R62"/>
    <mergeCell ref="L63:R64"/>
  </mergeCells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6D71-F20E-4F80-9861-76E492849886}">
  <dimension ref="A1:O17"/>
  <sheetViews>
    <sheetView workbookViewId="0">
      <selection activeCell="L68" sqref="L68"/>
    </sheetView>
  </sheetViews>
  <sheetFormatPr defaultRowHeight="12.75" x14ac:dyDescent="0.2"/>
  <cols>
    <col min="1" max="1" width="15" style="29" customWidth="1"/>
    <col min="2" max="2" width="10.85546875" style="29" customWidth="1"/>
    <col min="3" max="3" width="12.140625" style="29" bestFit="1" customWidth="1"/>
    <col min="4" max="4" width="9.85546875" style="29" customWidth="1"/>
    <col min="5" max="5" width="15" style="29" customWidth="1"/>
    <col min="6" max="6" width="7.28515625" style="29" customWidth="1"/>
    <col min="7" max="8" width="13.28515625" style="29" bestFit="1" customWidth="1"/>
    <col min="9" max="11" width="9.140625" style="29"/>
    <col min="12" max="12" width="11" style="29" customWidth="1"/>
    <col min="13" max="13" width="11" style="29" bestFit="1" customWidth="1"/>
    <col min="14" max="14" width="12.85546875" style="29" customWidth="1"/>
    <col min="15" max="16384" width="9.140625" style="29"/>
  </cols>
  <sheetData>
    <row r="1" spans="1:15" ht="18.75" thickBot="1" x14ac:dyDescent="0.3">
      <c r="A1" s="25" t="s">
        <v>280</v>
      </c>
      <c r="B1" s="26"/>
      <c r="C1" s="26"/>
      <c r="D1" s="27"/>
      <c r="E1" s="28"/>
      <c r="F1" s="28"/>
      <c r="G1" s="28"/>
      <c r="H1" s="28"/>
      <c r="I1" s="28"/>
      <c r="J1" s="28"/>
      <c r="K1" s="26"/>
      <c r="L1" s="28"/>
      <c r="M1" s="26"/>
      <c r="N1" s="26"/>
      <c r="O1" s="26"/>
    </row>
    <row r="2" spans="1:15" ht="16.5" thickTop="1" thickBot="1" x14ac:dyDescent="0.25">
      <c r="A2" s="26"/>
      <c r="B2" s="26"/>
      <c r="C2" s="28"/>
      <c r="D2" s="28"/>
      <c r="E2" s="28"/>
      <c r="F2" s="28"/>
      <c r="G2" s="28"/>
      <c r="H2" s="28"/>
      <c r="I2" s="30" t="s">
        <v>281</v>
      </c>
      <c r="J2" s="31"/>
      <c r="K2" s="28"/>
      <c r="L2" s="32" t="s">
        <v>282</v>
      </c>
      <c r="M2" s="33"/>
    </row>
    <row r="3" spans="1:15" ht="26.25" thickTop="1" x14ac:dyDescent="0.2">
      <c r="A3" s="34" t="s">
        <v>283</v>
      </c>
      <c r="B3" s="34" t="s">
        <v>284</v>
      </c>
      <c r="C3" s="34" t="s">
        <v>285</v>
      </c>
      <c r="D3" s="34" t="s">
        <v>286</v>
      </c>
      <c r="E3" s="34" t="s">
        <v>287</v>
      </c>
      <c r="F3" s="34" t="s">
        <v>281</v>
      </c>
      <c r="G3" s="34" t="s">
        <v>288</v>
      </c>
      <c r="H3" s="28"/>
      <c r="I3" s="35" t="s">
        <v>286</v>
      </c>
      <c r="J3" s="36" t="s">
        <v>289</v>
      </c>
      <c r="K3" s="34"/>
      <c r="L3" s="35" t="s">
        <v>284</v>
      </c>
      <c r="M3" s="36" t="s">
        <v>290</v>
      </c>
    </row>
    <row r="4" spans="1:15" ht="15" x14ac:dyDescent="0.2">
      <c r="A4" s="28" t="s">
        <v>291</v>
      </c>
      <c r="B4" s="28" t="s">
        <v>292</v>
      </c>
      <c r="C4" s="37"/>
      <c r="D4" s="28">
        <v>12</v>
      </c>
      <c r="E4" s="38">
        <f>C4*D4</f>
        <v>0</v>
      </c>
      <c r="F4" s="39"/>
      <c r="G4" s="38">
        <f>E4-(E4*F4)</f>
        <v>0</v>
      </c>
      <c r="H4" s="28"/>
      <c r="I4" s="40">
        <v>0</v>
      </c>
      <c r="J4" s="41">
        <v>0</v>
      </c>
      <c r="K4" s="26"/>
      <c r="L4" s="42" t="s">
        <v>292</v>
      </c>
      <c r="M4" s="43">
        <v>565</v>
      </c>
    </row>
    <row r="5" spans="1:15" ht="15" x14ac:dyDescent="0.2">
      <c r="A5" s="28" t="s">
        <v>293</v>
      </c>
      <c r="B5" s="28" t="s">
        <v>294</v>
      </c>
      <c r="C5" s="37"/>
      <c r="D5" s="28">
        <v>15</v>
      </c>
      <c r="E5" s="38">
        <f t="shared" ref="E5:E17" si="0">C5*D5</f>
        <v>0</v>
      </c>
      <c r="F5" s="39"/>
      <c r="G5" s="38">
        <f t="shared" ref="G5:G17" si="1">E5-(E5*F5)</f>
        <v>0</v>
      </c>
      <c r="H5" s="28"/>
      <c r="I5" s="42">
        <v>10</v>
      </c>
      <c r="J5" s="41">
        <v>0.04</v>
      </c>
      <c r="K5" s="26"/>
      <c r="L5" s="42" t="s">
        <v>295</v>
      </c>
      <c r="M5" s="43">
        <v>1254</v>
      </c>
    </row>
    <row r="6" spans="1:15" ht="15" x14ac:dyDescent="0.2">
      <c r="A6" s="28" t="s">
        <v>296</v>
      </c>
      <c r="B6" s="28" t="s">
        <v>297</v>
      </c>
      <c r="C6" s="37"/>
      <c r="D6" s="28">
        <v>18</v>
      </c>
      <c r="E6" s="38">
        <f t="shared" si="0"/>
        <v>0</v>
      </c>
      <c r="F6" s="39"/>
      <c r="G6" s="38">
        <f t="shared" si="1"/>
        <v>0</v>
      </c>
      <c r="H6" s="28"/>
      <c r="I6" s="42">
        <v>30</v>
      </c>
      <c r="J6" s="41">
        <v>0.06</v>
      </c>
      <c r="K6" s="26"/>
      <c r="L6" s="42" t="s">
        <v>294</v>
      </c>
      <c r="M6" s="43">
        <v>1840</v>
      </c>
    </row>
    <row r="7" spans="1:15" ht="15" x14ac:dyDescent="0.2">
      <c r="A7" s="28" t="s">
        <v>291</v>
      </c>
      <c r="B7" s="28" t="s">
        <v>298</v>
      </c>
      <c r="C7" s="37"/>
      <c r="D7" s="28">
        <v>9</v>
      </c>
      <c r="E7" s="38">
        <f t="shared" si="0"/>
        <v>0</v>
      </c>
      <c r="F7" s="39"/>
      <c r="G7" s="38">
        <f t="shared" si="1"/>
        <v>0</v>
      </c>
      <c r="H7" s="28"/>
      <c r="I7" s="42">
        <v>50</v>
      </c>
      <c r="J7" s="41">
        <v>0.1</v>
      </c>
      <c r="K7" s="26"/>
      <c r="L7" s="42" t="s">
        <v>298</v>
      </c>
      <c r="M7" s="43">
        <v>25</v>
      </c>
    </row>
    <row r="8" spans="1:15" ht="15.75" thickBot="1" x14ac:dyDescent="0.25">
      <c r="A8" s="28" t="s">
        <v>299</v>
      </c>
      <c r="B8" s="28" t="s">
        <v>294</v>
      </c>
      <c r="C8" s="37"/>
      <c r="D8" s="28">
        <v>6</v>
      </c>
      <c r="E8" s="38">
        <f t="shared" si="0"/>
        <v>0</v>
      </c>
      <c r="F8" s="39"/>
      <c r="G8" s="38">
        <f t="shared" si="1"/>
        <v>0</v>
      </c>
      <c r="H8" s="28"/>
      <c r="I8" s="44">
        <v>100</v>
      </c>
      <c r="J8" s="45">
        <v>0.14000000000000001</v>
      </c>
      <c r="K8" s="26"/>
      <c r="L8" s="44" t="s">
        <v>297</v>
      </c>
      <c r="M8" s="46">
        <v>256</v>
      </c>
    </row>
    <row r="9" spans="1:15" ht="15.75" thickTop="1" x14ac:dyDescent="0.2">
      <c r="A9" s="28" t="s">
        <v>300</v>
      </c>
      <c r="B9" s="28" t="s">
        <v>294</v>
      </c>
      <c r="C9" s="37"/>
      <c r="D9" s="28">
        <v>25</v>
      </c>
      <c r="E9" s="38">
        <f t="shared" si="0"/>
        <v>0</v>
      </c>
      <c r="F9" s="39"/>
      <c r="G9" s="38">
        <f t="shared" si="1"/>
        <v>0</v>
      </c>
      <c r="H9" s="28"/>
      <c r="I9" s="28"/>
      <c r="J9" s="28"/>
      <c r="K9" s="28"/>
      <c r="L9" s="26"/>
      <c r="M9" s="26"/>
      <c r="N9" s="26"/>
    </row>
    <row r="10" spans="1:15" ht="15" x14ac:dyDescent="0.2">
      <c r="A10" s="28" t="s">
        <v>301</v>
      </c>
      <c r="B10" s="28" t="s">
        <v>294</v>
      </c>
      <c r="C10" s="37"/>
      <c r="D10" s="28">
        <v>19</v>
      </c>
      <c r="E10" s="38">
        <f t="shared" si="0"/>
        <v>0</v>
      </c>
      <c r="F10" s="39"/>
      <c r="G10" s="38">
        <f t="shared" si="1"/>
        <v>0</v>
      </c>
      <c r="H10" s="28"/>
      <c r="I10" s="28"/>
      <c r="J10" s="28"/>
      <c r="K10" s="28"/>
      <c r="L10" s="26"/>
      <c r="M10" s="26"/>
      <c r="N10" s="26"/>
    </row>
    <row r="11" spans="1:15" ht="15" x14ac:dyDescent="0.2">
      <c r="A11" s="28" t="s">
        <v>302</v>
      </c>
      <c r="B11" s="28" t="s">
        <v>298</v>
      </c>
      <c r="C11" s="37"/>
      <c r="D11" s="28">
        <v>256</v>
      </c>
      <c r="E11" s="38">
        <f t="shared" si="0"/>
        <v>0</v>
      </c>
      <c r="F11" s="39"/>
      <c r="G11" s="38">
        <f t="shared" si="1"/>
        <v>0</v>
      </c>
      <c r="H11" s="28"/>
      <c r="I11" s="26"/>
      <c r="J11" s="26"/>
      <c r="K11" s="26"/>
      <c r="L11" s="26"/>
      <c r="M11" s="26"/>
      <c r="N11" s="26"/>
    </row>
    <row r="12" spans="1:15" ht="15" x14ac:dyDescent="0.2">
      <c r="A12" s="28" t="s">
        <v>302</v>
      </c>
      <c r="B12" s="28" t="s">
        <v>297</v>
      </c>
      <c r="C12" s="37"/>
      <c r="D12" s="28">
        <v>32</v>
      </c>
      <c r="E12" s="38">
        <f t="shared" si="0"/>
        <v>0</v>
      </c>
      <c r="F12" s="39"/>
      <c r="G12" s="38">
        <f t="shared" si="1"/>
        <v>0</v>
      </c>
      <c r="H12" s="28"/>
      <c r="I12" s="26"/>
      <c r="J12" s="26"/>
      <c r="K12" s="26"/>
      <c r="L12" s="26"/>
      <c r="M12" s="26"/>
      <c r="N12" s="26"/>
    </row>
    <row r="13" spans="1:15" ht="15" x14ac:dyDescent="0.2">
      <c r="A13" s="28" t="s">
        <v>303</v>
      </c>
      <c r="B13" s="28" t="s">
        <v>294</v>
      </c>
      <c r="C13" s="37"/>
      <c r="D13" s="28">
        <v>15</v>
      </c>
      <c r="E13" s="38">
        <f t="shared" si="0"/>
        <v>0</v>
      </c>
      <c r="F13" s="39"/>
      <c r="G13" s="38">
        <f t="shared" si="1"/>
        <v>0</v>
      </c>
      <c r="H13" s="28"/>
      <c r="I13" s="26"/>
      <c r="J13" s="26"/>
      <c r="K13" s="26"/>
      <c r="L13" s="26"/>
      <c r="M13" s="26"/>
      <c r="N13" s="26"/>
    </row>
    <row r="14" spans="1:15" ht="15" x14ac:dyDescent="0.2">
      <c r="A14" s="28" t="s">
        <v>304</v>
      </c>
      <c r="B14" s="28" t="s">
        <v>295</v>
      </c>
      <c r="C14" s="37"/>
      <c r="D14" s="28">
        <v>9</v>
      </c>
      <c r="E14" s="38">
        <f t="shared" si="0"/>
        <v>0</v>
      </c>
      <c r="F14" s="39"/>
      <c r="G14" s="38">
        <f t="shared" si="1"/>
        <v>0</v>
      </c>
      <c r="H14" s="28"/>
      <c r="I14" s="26"/>
      <c r="J14" s="26"/>
      <c r="K14" s="26"/>
      <c r="L14" s="26"/>
      <c r="M14" s="26"/>
      <c r="N14" s="26"/>
    </row>
    <row r="15" spans="1:15" ht="15" x14ac:dyDescent="0.2">
      <c r="A15" s="28" t="s">
        <v>291</v>
      </c>
      <c r="B15" s="28" t="s">
        <v>292</v>
      </c>
      <c r="C15" s="37"/>
      <c r="D15" s="28">
        <v>7</v>
      </c>
      <c r="E15" s="38">
        <f t="shared" si="0"/>
        <v>0</v>
      </c>
      <c r="F15" s="39"/>
      <c r="G15" s="38">
        <f t="shared" si="1"/>
        <v>0</v>
      </c>
      <c r="H15" s="28"/>
      <c r="I15" s="26"/>
      <c r="J15" s="26"/>
      <c r="K15" s="26"/>
      <c r="L15" s="26"/>
      <c r="M15" s="26"/>
      <c r="N15" s="26"/>
    </row>
    <row r="16" spans="1:15" ht="15" x14ac:dyDescent="0.2">
      <c r="A16" s="28" t="s">
        <v>299</v>
      </c>
      <c r="B16" s="28" t="s">
        <v>298</v>
      </c>
      <c r="C16" s="37"/>
      <c r="D16" s="28">
        <v>123</v>
      </c>
      <c r="E16" s="38">
        <f t="shared" si="0"/>
        <v>0</v>
      </c>
      <c r="F16" s="39"/>
      <c r="G16" s="38">
        <f t="shared" si="1"/>
        <v>0</v>
      </c>
      <c r="H16" s="28"/>
      <c r="I16" s="26"/>
      <c r="J16" s="26"/>
      <c r="K16" s="26"/>
      <c r="L16" s="26"/>
      <c r="M16" s="26"/>
      <c r="N16" s="26"/>
    </row>
    <row r="17" spans="1:14" ht="15" x14ac:dyDescent="0.2">
      <c r="A17" s="28" t="s">
        <v>305</v>
      </c>
      <c r="B17" s="28" t="s">
        <v>292</v>
      </c>
      <c r="C17" s="37"/>
      <c r="D17" s="28">
        <v>16</v>
      </c>
      <c r="E17" s="38">
        <f t="shared" si="0"/>
        <v>0</v>
      </c>
      <c r="F17" s="39"/>
      <c r="G17" s="38">
        <f t="shared" si="1"/>
        <v>0</v>
      </c>
      <c r="H17" s="28"/>
      <c r="I17" s="26"/>
      <c r="J17" s="26"/>
      <c r="K17" s="26"/>
      <c r="L17" s="26"/>
      <c r="M17" s="26"/>
      <c r="N17" s="26"/>
    </row>
  </sheetData>
  <mergeCells count="2">
    <mergeCell ref="I2:J2"/>
    <mergeCell ref="L2:M2"/>
  </mergeCells>
  <dataValidations count="1">
    <dataValidation type="list" allowBlank="1" showInputMessage="1" showErrorMessage="1" errorTitle="Typ kurzu" error="Zadáváte špatný typ kurzu" promptTitle="Typ kurzu" prompt="Vyberte typ kurzu" sqref="B4:B17" xr:uid="{0EF11563-F725-4D1B-B66B-A7DCA3067A4C}">
      <formula1>$L$4:$L$8</formula1>
    </dataValidation>
  </dataValidations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Stat</vt:lpstr>
      <vt:lpstr>KT</vt:lpstr>
      <vt:lpstr>Souhrn</vt:lpstr>
      <vt:lpstr>Fin</vt:lpstr>
      <vt:lpstr>Pracovníci</vt:lpstr>
      <vt:lpstr>Cenik</vt:lpstr>
    </vt:vector>
  </TitlesOfParts>
  <Company>VSPJ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vspj</dc:creator>
  <cp:lastModifiedBy>Kadlec Oldřich</cp:lastModifiedBy>
  <dcterms:created xsi:type="dcterms:W3CDTF">2009-09-28T12:50:49Z</dcterms:created>
  <dcterms:modified xsi:type="dcterms:W3CDTF">2021-04-29T07:46:07Z</dcterms:modified>
</cp:coreProperties>
</file>